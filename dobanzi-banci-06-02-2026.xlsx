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OANA\ADWISERS\DOBANZI BANCI\"/>
    </mc:Choice>
  </mc:AlternateContent>
  <xr:revisionPtr revIDLastSave="0" documentId="13_ncr:1_{FF0271C9-2196-44BE-AE69-88C2BEF8193B}" xr6:coauthVersionLast="47" xr6:coauthVersionMax="47" xr10:uidLastSave="{00000000-0000-0000-0000-000000000000}"/>
  <bookViews>
    <workbookView xWindow="-108" yWindow="-108" windowWidth="23256" windowHeight="12576" xr2:uid="{00000000-000D-0000-FFFF-FFFF00000000}"/>
  </bookViews>
  <sheets>
    <sheet name="IPOTECAR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8" i="2" l="1"/>
  <c r="H127" i="2"/>
  <c r="Q124" i="2" l="1"/>
  <c r="Q123" i="2"/>
  <c r="F34" i="2"/>
  <c r="G34" i="2"/>
  <c r="H34" i="2"/>
  <c r="E34" i="2"/>
  <c r="D34" i="2"/>
  <c r="J3" i="2" l="1"/>
  <c r="E16" i="2" l="1"/>
  <c r="E37" i="2" s="1"/>
  <c r="F16" i="2"/>
  <c r="F37" i="2" s="1"/>
  <c r="G16" i="2"/>
  <c r="G37" i="2" s="1"/>
  <c r="H16" i="2"/>
  <c r="H37" i="2" s="1"/>
  <c r="D16" i="2"/>
  <c r="D37" i="2" s="1"/>
  <c r="M43" i="2" l="1"/>
  <c r="M48" i="2" l="1"/>
  <c r="N81" i="2" l="1"/>
</calcChain>
</file>

<file path=xl/sharedStrings.xml><?xml version="1.0" encoding="utf-8"?>
<sst xmlns="http://schemas.openxmlformats.org/spreadsheetml/2006/main" count="694" uniqueCount="338">
  <si>
    <t>VIP</t>
  </si>
  <si>
    <t>BANCA</t>
  </si>
  <si>
    <t>FARA VIRARE</t>
  </si>
  <si>
    <t>CU VIRARE</t>
  </si>
  <si>
    <t>IPOTECAR</t>
  </si>
  <si>
    <t>RON</t>
  </si>
  <si>
    <t>EURO</t>
  </si>
  <si>
    <t>Tip dobanda</t>
  </si>
  <si>
    <t>Variabila</t>
  </si>
  <si>
    <t>STANDARD</t>
  </si>
  <si>
    <t>VARIABILA</t>
  </si>
  <si>
    <t>ASIG VIATA</t>
  </si>
  <si>
    <t>LUNAR</t>
  </si>
  <si>
    <t>ANUAL</t>
  </si>
  <si>
    <t>EURIBOR 6M + 4.75%</t>
  </si>
  <si>
    <t>EURIBOR 6M + 5%</t>
  </si>
  <si>
    <t>IRCC + 3.35%</t>
  </si>
  <si>
    <t>IRCC + 3%</t>
  </si>
  <si>
    <t>IRCC + 3.5%</t>
  </si>
  <si>
    <r>
      <rPr>
        <b/>
        <sz val="11"/>
        <color theme="1"/>
        <rFont val="Calibri"/>
        <family val="2"/>
        <scheme val="minor"/>
      </rPr>
      <t>Romani in strainatate:</t>
    </r>
    <r>
      <rPr>
        <sz val="11"/>
        <color theme="1"/>
        <rFont val="Calibri"/>
        <family val="2"/>
        <scheme val="minor"/>
      </rPr>
      <t xml:space="preserve"> LTV 80% si 30 ani per max
</t>
    </r>
    <r>
      <rPr>
        <b/>
        <sz val="11"/>
        <color theme="1"/>
        <rFont val="Calibri"/>
        <family val="2"/>
        <scheme val="minor"/>
      </rPr>
      <t>Cetateni straini:</t>
    </r>
    <r>
      <rPr>
        <sz val="11"/>
        <color theme="1"/>
        <rFont val="Calibri"/>
        <family val="2"/>
        <scheme val="minor"/>
      </rPr>
      <t xml:space="preserve"> LTV 75% si 15 ani per max</t>
    </r>
  </si>
  <si>
    <r>
      <t xml:space="preserve">CREDIT EUROPE BANK
</t>
    </r>
    <r>
      <rPr>
        <sz val="11"/>
        <color theme="1"/>
        <rFont val="Calibri"/>
        <family val="2"/>
        <scheme val="minor"/>
      </rPr>
      <t>analiza dosar 0</t>
    </r>
  </si>
  <si>
    <t xml:space="preserve">OFERTA 
CARD AVANTAJ </t>
  </si>
  <si>
    <t>DOBANDA VARIABILA</t>
  </si>
  <si>
    <t>IRCC + 2.75%</t>
  </si>
  <si>
    <t>Oferta standard</t>
  </si>
  <si>
    <t>IRCC + 3.00%</t>
  </si>
  <si>
    <t>IRCC + 3.05%</t>
  </si>
  <si>
    <t>IRCC + 2.51%</t>
  </si>
  <si>
    <t xml:space="preserve">OFERTA VIP </t>
  </si>
  <si>
    <t xml:space="preserve">VARIABILA </t>
  </si>
  <si>
    <t>VIRARE (RULAJ)</t>
  </si>
  <si>
    <t>Vmin=12.000 lei/fam SAU 8.000 lei/aplicant - BUCURESTI</t>
  </si>
  <si>
    <t>Vmin=9.000 lei/fam SAU 6.000 lei/aplicant - PROVINCIE</t>
  </si>
  <si>
    <t xml:space="preserve">RAIFFEISEN BANK </t>
  </si>
  <si>
    <t>Segment clienti</t>
  </si>
  <si>
    <t>Clienti de top / Staff RBRo &amp; grup / Oferta cont salariu</t>
  </si>
  <si>
    <t>Comision analiza (LEI)</t>
  </si>
  <si>
    <t xml:space="preserve">Variabila </t>
  </si>
  <si>
    <t>Produs</t>
  </si>
  <si>
    <t>Tip rata dobanda</t>
  </si>
  <si>
    <t>Domiciliere venit</t>
  </si>
  <si>
    <t>DA</t>
  </si>
  <si>
    <t>NU</t>
  </si>
  <si>
    <t>IRCC+ 3.10% + asig viata</t>
  </si>
  <si>
    <t xml:space="preserve">CASA Mea </t>
  </si>
  <si>
    <t>Prag</t>
  </si>
  <si>
    <t>Standard</t>
  </si>
  <si>
    <t>Salary</t>
  </si>
  <si>
    <t>Dobanda variabila (Marja)</t>
  </si>
  <si>
    <t>3.75%</t>
  </si>
  <si>
    <t>3.60%</t>
  </si>
  <si>
    <t>GPL+ Dobanda variabila  *</t>
  </si>
  <si>
    <t>N/A</t>
  </si>
  <si>
    <t>Suma EURO</t>
  </si>
  <si>
    <t>IRCC + 2.9%</t>
  </si>
  <si>
    <t>IRCC + 3.2%</t>
  </si>
  <si>
    <t>2.85%</t>
  </si>
  <si>
    <t>Valuta</t>
  </si>
  <si>
    <t>HL EURO STANDARD</t>
  </si>
  <si>
    <t>HL EURO REFINANTARE</t>
  </si>
  <si>
    <t>ACHIZITIE</t>
  </si>
  <si>
    <t>3.15%</t>
  </si>
  <si>
    <t>VIP/ Refinantare</t>
  </si>
  <si>
    <t>AMENAJARE</t>
  </si>
  <si>
    <t>IRCC+ 4% + asig viata</t>
  </si>
  <si>
    <t xml:space="preserve">EURO
</t>
  </si>
  <si>
    <t>IRCC + 4.77%</t>
  </si>
  <si>
    <t>IRCC + 4.27%</t>
  </si>
  <si>
    <t>EURIBOR 6M + 5.50%</t>
  </si>
  <si>
    <t>EURIBOR 6M + 5.00%</t>
  </si>
  <si>
    <t>NEVOI PERSONALE CU IPOTECA si REFINANTARE</t>
  </si>
  <si>
    <t>HABITAT VERDE *</t>
  </si>
  <si>
    <r>
      <rPr>
        <b/>
        <sz val="11"/>
        <color theme="1"/>
        <rFont val="Calibri"/>
        <family val="2"/>
        <scheme val="minor"/>
      </rPr>
      <t>CREDIT VERDE *</t>
    </r>
    <r>
      <rPr>
        <sz val="11"/>
        <color theme="1"/>
        <rFont val="Calibri"/>
        <family val="2"/>
        <charset val="1"/>
        <scheme val="minor"/>
      </rPr>
      <t xml:space="preserve"> =  clasa energetica A</t>
    </r>
  </si>
  <si>
    <t>IRCC+3.10% + asig viata</t>
  </si>
  <si>
    <t>IRCC+2.10% + asig viata</t>
  </si>
  <si>
    <t>IRCC+ 2.70% + asig viata</t>
  </si>
  <si>
    <t xml:space="preserve">Tip opeartiune pentru oferta </t>
  </si>
  <si>
    <t>STANDARD**</t>
  </si>
  <si>
    <t>CREDITUL VERDE**</t>
  </si>
  <si>
    <t>CU asig viata</t>
  </si>
  <si>
    <t>FARA asig viata</t>
  </si>
  <si>
    <t>Tip produs</t>
  </si>
  <si>
    <t>FIXA 3 ANI</t>
  </si>
  <si>
    <t>Clienti de top / Staff RBRo &amp; grup/Oferta cont salariu / standard</t>
  </si>
  <si>
    <t>Clienti de top / Staff RBRo &amp; grup /Oferta cont salariu / standard</t>
  </si>
  <si>
    <t>* numai cu aprobarea in prealabil , punctuala, pentru fiecare client in parte. Campanie_cu asigurare locuinta Allianz intocmita in sucursala, indiferent de destinatie</t>
  </si>
  <si>
    <t>IRCC + 3.14%</t>
  </si>
  <si>
    <t>IRCC + 2.75%*</t>
  </si>
  <si>
    <t>IRCC + 3.65%</t>
  </si>
  <si>
    <t>EURIBOR 3M + 3.14%</t>
  </si>
  <si>
    <t>EURIBOR 3M + 2.75%*</t>
  </si>
  <si>
    <t>EURIBOR 3M + 3.65%</t>
  </si>
  <si>
    <r>
      <t xml:space="preserve">LIBRA BANK
</t>
    </r>
    <r>
      <rPr>
        <sz val="11"/>
        <color theme="1"/>
        <rFont val="Calibri"/>
        <family val="2"/>
        <scheme val="minor"/>
      </rPr>
      <t>fara limita max, analiza dosar 0, 35 ani per max, max 1 mil lei, analiza dosar 0</t>
    </r>
  </si>
  <si>
    <t>Credit de investitii imobiliare- Cetateni straini(
UE+ Israel)- cu venituri din strainatate</t>
  </si>
  <si>
    <t>IRCC + 4.14%</t>
  </si>
  <si>
    <t>EURIBOR 3M + 4.14%</t>
  </si>
  <si>
    <t>*clienti high class (VIP): medici, farmacisti, notari, magistrati, execuri, judecatori, angajati SSP si SRI, membrii sindicatului Prolex</t>
  </si>
  <si>
    <t>FARA VIRARE, VEN ROMANIA</t>
  </si>
  <si>
    <t>FARA VIRARE, VEN STRAINATATE</t>
  </si>
  <si>
    <t>VARIABILA STANDARD</t>
  </si>
  <si>
    <t>IRCC + 3.40%*</t>
  </si>
  <si>
    <t>EURIBOR 3M + 3.40%*</t>
  </si>
  <si>
    <t>IRCC + 2.89%</t>
  </si>
  <si>
    <t>IRCC + 2.50%*</t>
  </si>
  <si>
    <t>IRCC + 3.40%</t>
  </si>
  <si>
    <t>IRCC + 3.15%*</t>
  </si>
  <si>
    <t>IRCC + 3.89%</t>
  </si>
  <si>
    <t>VARIABILA VIP*</t>
  </si>
  <si>
    <r>
      <rPr>
        <b/>
        <sz val="11"/>
        <color theme="1"/>
        <rFont val="Calibri"/>
        <family val="2"/>
        <scheme val="minor"/>
      </rPr>
      <t>7.90%</t>
    </r>
    <r>
      <rPr>
        <sz val="11"/>
        <color theme="1"/>
        <rFont val="Calibri"/>
        <family val="2"/>
        <scheme val="minor"/>
      </rPr>
      <t xml:space="preserve"> fixa, IRCC + 3.14%</t>
    </r>
  </si>
  <si>
    <t>FIXA 3 ANI STANDARD</t>
  </si>
  <si>
    <t>FIXA 3 ANI VIP</t>
  </si>
  <si>
    <r>
      <rPr>
        <b/>
        <sz val="11"/>
        <color theme="1"/>
        <rFont val="Calibri"/>
        <family val="2"/>
        <scheme val="minor"/>
      </rPr>
      <t>7.70%</t>
    </r>
    <r>
      <rPr>
        <sz val="11"/>
        <color theme="1"/>
        <rFont val="Calibri"/>
        <family val="2"/>
        <scheme val="minor"/>
      </rPr>
      <t xml:space="preserve"> fixa, IRCC + 2.75%</t>
    </r>
  </si>
  <si>
    <t>VARIABILA CREDIT VERDE ** STANDARD</t>
  </si>
  <si>
    <t>VARIABILA CREDIT VERDE ** VIP*</t>
  </si>
  <si>
    <t>** certificate sau in curs de certificare Green Homes (Ro GBC)</t>
  </si>
  <si>
    <t>IRCC + 2.45%</t>
  </si>
  <si>
    <t>* La valoarea creditului refinantat se pot adauga si cheltuielile cu notariatul (in baza documentelor justificative) daca LTV-ul permite.</t>
  </si>
  <si>
    <t>credit nou/refinantare externa/refinantare interna</t>
  </si>
  <si>
    <r>
      <rPr>
        <b/>
        <sz val="11"/>
        <color theme="1"/>
        <rFont val="Calibri"/>
        <family val="2"/>
        <scheme val="minor"/>
      </rPr>
      <t>5.9%</t>
    </r>
    <r>
      <rPr>
        <sz val="11"/>
        <color theme="1"/>
        <rFont val="Calibri"/>
        <family val="2"/>
        <scheme val="minor"/>
      </rPr>
      <t xml:space="preserve"> rata dobanda fixa; IRCC+2.40%</t>
    </r>
  </si>
  <si>
    <r>
      <rPr>
        <b/>
        <sz val="11"/>
        <color theme="1"/>
        <rFont val="Calibri"/>
        <family val="2"/>
        <scheme val="minor"/>
      </rPr>
      <t>7.5%</t>
    </r>
    <r>
      <rPr>
        <sz val="11"/>
        <color theme="1"/>
        <rFont val="Calibri"/>
        <family val="2"/>
        <scheme val="minor"/>
      </rPr>
      <t xml:space="preserve"> rata dobanda fixa; IRCC+2.60%</t>
    </r>
  </si>
  <si>
    <r>
      <t>*</t>
    </r>
    <r>
      <rPr>
        <b/>
        <sz val="11"/>
        <color theme="1"/>
        <rFont val="Calibri"/>
        <family val="2"/>
        <scheme val="minor"/>
      </rPr>
      <t xml:space="preserve"> Conditii indeplinite</t>
    </r>
    <r>
      <rPr>
        <sz val="11"/>
        <color theme="1"/>
        <rFont val="Calibri"/>
        <family val="2"/>
        <charset val="1"/>
        <scheme val="minor"/>
      </rPr>
      <t xml:space="preserve">: indeplinirea cumulativa a celor doua conditii: 
</t>
    </r>
    <r>
      <rPr>
        <b/>
        <sz val="11"/>
        <color theme="1"/>
        <rFont val="Calibri"/>
        <family val="2"/>
        <scheme val="minor"/>
      </rPr>
      <t>1.</t>
    </r>
    <r>
      <rPr>
        <sz val="11"/>
        <color theme="1"/>
        <rFont val="Calibri"/>
        <family val="2"/>
        <charset val="1"/>
        <scheme val="minor"/>
      </rPr>
      <t xml:space="preserve"> </t>
    </r>
    <r>
      <rPr>
        <i/>
        <u/>
        <sz val="11"/>
        <color theme="1"/>
        <rFont val="Calibri"/>
        <family val="2"/>
        <scheme val="minor"/>
      </rPr>
      <t>Rulaj pe conturi</t>
    </r>
    <r>
      <rPr>
        <sz val="11"/>
        <color theme="1"/>
        <rFont val="Calibri"/>
        <family val="2"/>
        <scheme val="minor"/>
      </rPr>
      <t xml:space="preserve"> </t>
    </r>
    <r>
      <rPr>
        <sz val="11"/>
        <color theme="1"/>
        <rFont val="Calibri"/>
        <family val="2"/>
        <charset val="1"/>
        <scheme val="minor"/>
      </rPr>
      <t>reprezentand incasari eligibile de</t>
    </r>
    <r>
      <rPr>
        <i/>
        <u/>
        <sz val="11"/>
        <color theme="1"/>
        <rFont val="Calibri"/>
        <family val="2"/>
        <scheme val="minor"/>
      </rPr>
      <t xml:space="preserve"> minim 70% din venitul solicitatului</t>
    </r>
    <r>
      <rPr>
        <sz val="11"/>
        <color theme="1"/>
        <rFont val="Calibri"/>
        <family val="2"/>
        <scheme val="minor"/>
      </rPr>
      <t>, luat in</t>
    </r>
    <r>
      <rPr>
        <sz val="11"/>
        <color theme="1"/>
        <rFont val="Calibri"/>
        <family val="2"/>
        <charset val="1"/>
        <scheme val="minor"/>
      </rPr>
      <t xml:space="preserve"> considerare la aprobarea cererii de credit
</t>
    </r>
    <r>
      <rPr>
        <b/>
        <sz val="11"/>
        <color theme="1"/>
        <rFont val="Calibri"/>
        <family val="2"/>
        <scheme val="minor"/>
      </rPr>
      <t>2.</t>
    </r>
    <r>
      <rPr>
        <b/>
        <i/>
        <u/>
        <sz val="11"/>
        <color theme="1"/>
        <rFont val="Calibri"/>
        <family val="2"/>
        <scheme val="minor"/>
      </rPr>
      <t xml:space="preserve"> </t>
    </r>
    <r>
      <rPr>
        <i/>
        <u/>
        <sz val="11"/>
        <color theme="1"/>
        <rFont val="Calibri"/>
        <family val="2"/>
        <scheme val="minor"/>
      </rPr>
      <t>Asigurare de viata</t>
    </r>
    <r>
      <rPr>
        <sz val="11"/>
        <color theme="1"/>
        <rFont val="Calibri"/>
        <family val="2"/>
        <scheme val="minor"/>
      </rPr>
      <t xml:space="preserve"> a</t>
    </r>
    <r>
      <rPr>
        <sz val="11"/>
        <color theme="1"/>
        <rFont val="Calibri"/>
        <family val="2"/>
        <charset val="1"/>
        <scheme val="minor"/>
      </rPr>
      <t xml:space="preserve">ctiva, atasata creditului </t>
    </r>
  </si>
  <si>
    <t>IRCC + 3,15%</t>
  </si>
  <si>
    <t>IRCC + 3,35%</t>
  </si>
  <si>
    <t>OFERTA STANDARD</t>
  </si>
  <si>
    <t>ECO * - imobilele cu clasa energetica A si anul construirii cel putin 2021, discount 0,20%</t>
  </si>
  <si>
    <t>Dobanda fixa, primii 5 ani</t>
  </si>
  <si>
    <t>Dobanda variabila din anul 6</t>
  </si>
  <si>
    <t>6.29%</t>
  </si>
  <si>
    <t>2.79% + IRCC</t>
  </si>
  <si>
    <r>
      <t xml:space="preserve">Credit ipotecar </t>
    </r>
    <r>
      <rPr>
        <b/>
        <sz val="11"/>
        <color rgb="FF000000"/>
        <rFont val="Calibri"/>
        <family val="2"/>
        <scheme val="minor"/>
      </rPr>
      <t>STANDARD</t>
    </r>
  </si>
  <si>
    <t>DOBANDA FIXA</t>
  </si>
  <si>
    <t>Cu salariu, cu asig viata</t>
  </si>
  <si>
    <t>Cu salariu, fara asig viata</t>
  </si>
  <si>
    <t>Fara salariu, cu asig viata</t>
  </si>
  <si>
    <t>Fara salariu, fara asig viata</t>
  </si>
  <si>
    <r>
      <t xml:space="preserve">Credit ipotecar </t>
    </r>
    <r>
      <rPr>
        <b/>
        <sz val="11"/>
        <color rgb="FF000000"/>
        <rFont val="Calibri"/>
        <family val="2"/>
        <scheme val="minor"/>
      </rPr>
      <t>ECO</t>
    </r>
    <r>
      <rPr>
        <sz val="11"/>
        <color rgb="FF000000"/>
        <rFont val="Calibri"/>
        <family val="2"/>
        <scheme val="minor"/>
      </rPr>
      <t>*</t>
    </r>
  </si>
  <si>
    <r>
      <t>Credit ipotecar</t>
    </r>
    <r>
      <rPr>
        <b/>
        <sz val="11"/>
        <color rgb="FF000000"/>
        <rFont val="Calibri"/>
        <family val="2"/>
        <scheme val="minor"/>
      </rPr>
      <t xml:space="preserve"> STANDARD</t>
    </r>
  </si>
  <si>
    <r>
      <t xml:space="preserve">Credit ipotecar </t>
    </r>
    <r>
      <rPr>
        <b/>
        <sz val="11"/>
        <color rgb="FF000000"/>
        <rFont val="Calibri"/>
        <family val="2"/>
        <scheme val="minor"/>
      </rPr>
      <t>ECO*</t>
    </r>
  </si>
  <si>
    <r>
      <t xml:space="preserve">** </t>
    </r>
    <r>
      <rPr>
        <b/>
        <sz val="11"/>
        <color rgb="FF000000"/>
        <rFont val="Calibri"/>
        <family val="2"/>
        <scheme val="minor"/>
      </rPr>
      <t>ZERO</t>
    </r>
    <r>
      <rPr>
        <sz val="11"/>
        <color rgb="FF000000"/>
        <rFont val="Calibri"/>
        <family val="2"/>
        <scheme val="minor"/>
      </rPr>
      <t xml:space="preserve"> pentru clientii din </t>
    </r>
    <r>
      <rPr>
        <b/>
        <sz val="11"/>
        <color rgb="FF000000"/>
        <rFont val="Calibri"/>
        <family val="2"/>
        <scheme val="minor"/>
      </rPr>
      <t>conventiile salariale</t>
    </r>
    <r>
      <rPr>
        <sz val="11"/>
        <color rgb="FF000000"/>
        <rFont val="Calibri"/>
        <family val="2"/>
        <scheme val="minor"/>
      </rPr>
      <t xml:space="preserve"> si pentru creditele de </t>
    </r>
    <r>
      <rPr>
        <b/>
        <sz val="11"/>
        <color rgb="FF000000"/>
        <rFont val="Calibri"/>
        <family val="2"/>
        <scheme val="minor"/>
      </rPr>
      <t>refinantare</t>
    </r>
  </si>
  <si>
    <t>ACHIZITIE si REFINANTARE</t>
  </si>
  <si>
    <t>HL ECO HOME (certificat RoGBC)</t>
  </si>
  <si>
    <t xml:space="preserve">Casa Mea NaturA * </t>
  </si>
  <si>
    <r>
      <rPr>
        <b/>
        <i/>
        <sz val="11"/>
        <color rgb="FF00B050"/>
        <rFont val="Calibri"/>
        <family val="2"/>
      </rPr>
      <t xml:space="preserve">Imobil VERDE </t>
    </r>
    <r>
      <rPr>
        <b/>
        <i/>
        <sz val="11"/>
        <color theme="1"/>
        <rFont val="Calibri"/>
        <family val="2"/>
      </rPr>
      <t>* :</t>
    </r>
    <r>
      <rPr>
        <i/>
        <sz val="11"/>
        <color theme="1"/>
        <rFont val="Calibri"/>
        <family val="2"/>
      </rPr>
      <t xml:space="preserve"> cu certificare RoGBC de cladire verde </t>
    </r>
    <r>
      <rPr>
        <b/>
        <i/>
        <sz val="11"/>
        <color theme="1"/>
        <rFont val="Calibri"/>
        <family val="2"/>
      </rPr>
      <t xml:space="preserve">SI </t>
    </r>
    <r>
      <rPr>
        <i/>
        <sz val="11"/>
        <color theme="1"/>
        <rFont val="Calibri"/>
        <family val="2"/>
      </rPr>
      <t>clasa de eficienta energetica A.</t>
    </r>
  </si>
  <si>
    <r>
      <rPr>
        <b/>
        <i/>
        <sz val="11"/>
        <color theme="1"/>
        <rFont val="Calibri"/>
        <family val="2"/>
        <scheme val="minor"/>
      </rPr>
      <t>Nota</t>
    </r>
    <r>
      <rPr>
        <sz val="11"/>
        <color theme="1"/>
        <rFont val="Calibri"/>
        <family val="2"/>
        <scheme val="minor"/>
      </rPr>
      <t>: Comision analiza dosar 600 RON/ 130 EUR</t>
    </r>
  </si>
  <si>
    <t>FIXA 3 ani &amp; variabila</t>
  </si>
  <si>
    <t>FIXA 8 ani &amp; variabila</t>
  </si>
  <si>
    <t>FIXA 30 ani</t>
  </si>
  <si>
    <t>IRCC + 2.85%</t>
  </si>
  <si>
    <t>IRCC + 3.17%</t>
  </si>
  <si>
    <t>FIXA 5 ANI*</t>
  </si>
  <si>
    <t>CREDIT IPOTECAR ACHIZITIE (standard si refinantare)</t>
  </si>
  <si>
    <t>CU VIRARE SI/ SAU REFIN EXTERNA</t>
  </si>
  <si>
    <t>FARA VIRARE SI FARA REFIN EXTERNA</t>
  </si>
  <si>
    <t>CREDITUL VERDE  *       CU VIRARE SI/ SAU  REFIN EXTERNA</t>
  </si>
  <si>
    <t>CREDITUL VERDE  *      FARA VIRARE SI FARA  REFIN EXTERNA</t>
  </si>
  <si>
    <r>
      <t xml:space="preserve">ING
</t>
    </r>
    <r>
      <rPr>
        <sz val="11"/>
        <color theme="1"/>
        <rFont val="Calibri"/>
        <family val="2"/>
        <scheme val="minor"/>
      </rPr>
      <t>analiza dosar** 900 lei si admin ZERO</t>
    </r>
    <r>
      <rPr>
        <b/>
        <sz val="11"/>
        <color theme="1"/>
        <rFont val="Calibri"/>
        <family val="2"/>
        <scheme val="minor"/>
      </rPr>
      <t xml:space="preserve">
</t>
    </r>
  </si>
  <si>
    <t>2.29% + IRCC</t>
  </si>
  <si>
    <t>FIXA 3 ANI*</t>
  </si>
  <si>
    <t>EURIBOR 6M + 4.50%*</t>
  </si>
  <si>
    <t>EURIBOR 6M + 4.20%*</t>
  </si>
  <si>
    <t>EURIBOR 6M + 4.35%*</t>
  </si>
  <si>
    <t>EURIBOR 6M + 4.05%*</t>
  </si>
  <si>
    <t>Dobanda FIXA 5 ani *</t>
  </si>
  <si>
    <t>Dobanda FIXA 3 ani *</t>
  </si>
  <si>
    <r>
      <t xml:space="preserve">* </t>
    </r>
    <r>
      <rPr>
        <b/>
        <sz val="11"/>
        <color theme="1"/>
        <rFont val="Calibri"/>
        <family val="2"/>
        <scheme val="minor"/>
      </rPr>
      <t>Ce criterii trebuie sa indeplineasca clientii?</t>
    </r>
    <r>
      <rPr>
        <sz val="11"/>
        <color theme="1"/>
        <rFont val="Calibri"/>
        <family val="2"/>
        <charset val="1"/>
        <scheme val="minor"/>
      </rPr>
      <t xml:space="preserve">  
</t>
    </r>
    <r>
      <rPr>
        <b/>
        <sz val="11"/>
        <color theme="1"/>
        <rFont val="Calibri"/>
        <family val="2"/>
        <scheme val="minor"/>
      </rPr>
      <t>1.</t>
    </r>
    <r>
      <rPr>
        <sz val="11"/>
        <color theme="1"/>
        <rFont val="Calibri"/>
        <family val="2"/>
        <charset val="1"/>
        <scheme val="minor"/>
      </rPr>
      <t xml:space="preserve"> Asigurare de viata si asigurare de imobil incheiate prin UCB; 
</t>
    </r>
    <r>
      <rPr>
        <b/>
        <sz val="11"/>
        <color theme="1"/>
        <rFont val="Calibri"/>
        <family val="2"/>
        <scheme val="minor"/>
      </rPr>
      <t>2</t>
    </r>
    <r>
      <rPr>
        <sz val="11"/>
        <color theme="1"/>
        <rFont val="Calibri"/>
        <family val="2"/>
        <charset val="1"/>
        <scheme val="minor"/>
      </rPr>
      <t xml:space="preserve">. Au identificat imobilul pe care doresc sa il achizitioneze si au documentatie juridica finalizata; </t>
    </r>
    <r>
      <rPr>
        <b/>
        <sz val="11"/>
        <color theme="1"/>
        <rFont val="Calibri"/>
        <family val="2"/>
        <scheme val="minor"/>
      </rPr>
      <t>3.</t>
    </r>
    <r>
      <rPr>
        <sz val="11"/>
        <color theme="1"/>
        <rFont val="Calibri"/>
        <family val="2"/>
        <charset val="1"/>
        <scheme val="minor"/>
      </rPr>
      <t xml:space="preserve">	 X-sell - clientul va achizitiona cel putin alte 2 produse dintre: CC, OVD, PL (daca gradul de indatorare permite), Investment Plan, Start Invest, Genius Protect</t>
    </r>
  </si>
  <si>
    <t>Dobanda standard cu asigurare de viata atasata</t>
  </si>
  <si>
    <t xml:space="preserve">EURO ACHIZITIE
</t>
  </si>
  <si>
    <t xml:space="preserve">EURO REFINANTARE
</t>
  </si>
  <si>
    <t>2.59% + IRCC</t>
  </si>
  <si>
    <t>6.59%</t>
  </si>
  <si>
    <t>3.09% + IRCC</t>
  </si>
  <si>
    <t>2.09% + IRCC</t>
  </si>
  <si>
    <t>2.39% + IRCC</t>
  </si>
  <si>
    <t>2.89% + IRCC</t>
  </si>
  <si>
    <r>
      <rPr>
        <b/>
        <i/>
        <sz val="11"/>
        <color theme="1"/>
        <rFont val="Calibri"/>
        <family val="2"/>
        <scheme val="minor"/>
      </rPr>
      <t>Nota</t>
    </r>
    <r>
      <rPr>
        <sz val="11"/>
        <color theme="1"/>
        <rFont val="Calibri"/>
        <family val="2"/>
        <scheme val="minor"/>
      </rPr>
      <t>: Comision de analiza dosar</t>
    </r>
    <r>
      <rPr>
        <b/>
        <sz val="11"/>
        <color theme="1"/>
        <rFont val="Calibri"/>
        <family val="2"/>
        <scheme val="minor"/>
      </rPr>
      <t xml:space="preserve">: 130 EURO </t>
    </r>
    <r>
      <rPr>
        <sz val="11"/>
        <color theme="1"/>
        <rFont val="Calibri"/>
        <family val="2"/>
        <scheme val="minor"/>
      </rPr>
      <t>pentru creditele HL (cu exceptia creditelor de refinantare); 
* Comision de administrare lunar credit in valoare fixa de 10 EURO/luna pt creditele ipotecare EURO</t>
    </r>
  </si>
  <si>
    <t>IRCC + 2.72%</t>
  </si>
  <si>
    <r>
      <t xml:space="preserve">* </t>
    </r>
    <r>
      <rPr>
        <b/>
        <sz val="10"/>
        <color rgb="FF00B050"/>
        <rFont val="Arial"/>
        <family val="2"/>
      </rPr>
      <t>Casa Mea NaturA</t>
    </r>
    <r>
      <rPr>
        <sz val="10"/>
        <color theme="1"/>
        <rFont val="Arial"/>
        <family val="2"/>
      </rPr>
      <t xml:space="preserve">   = certificat RoGBC SAU Clasa energetica A sau B (emis incepand cu data de 16.02.2023), constructie dupa 01.01.2000</t>
    </r>
  </si>
  <si>
    <t>VIRARE, AS ALLIANZ SI CC</t>
  </si>
  <si>
    <t>Avans &gt;=20%</t>
  </si>
  <si>
    <t>Avans &lt; 20%</t>
  </si>
  <si>
    <t>IRCC + 2.50%</t>
  </si>
  <si>
    <t>46-67 ani</t>
  </si>
  <si>
    <t>Marja dobanda Variabila (din anul 4 de creditare)</t>
  </si>
  <si>
    <t xml:space="preserve"> HL RON REFINANTARE
</t>
  </si>
  <si>
    <t>Dobanda variabila (marja), dupa 3/5 ani</t>
  </si>
  <si>
    <t>CU/FARA asig viata</t>
  </si>
  <si>
    <t>SALARY</t>
  </si>
  <si>
    <t>SMALL</t>
  </si>
  <si>
    <r>
      <rPr>
        <b/>
        <i/>
        <sz val="11"/>
        <color theme="1"/>
        <rFont val="Calibri"/>
        <family val="2"/>
        <scheme val="minor"/>
      </rPr>
      <t>Nota</t>
    </r>
    <r>
      <rPr>
        <sz val="11"/>
        <color theme="1"/>
        <rFont val="Calibri"/>
        <family val="2"/>
        <scheme val="minor"/>
      </rPr>
      <t>: Comision de analiza dosar</t>
    </r>
    <r>
      <rPr>
        <b/>
        <sz val="11"/>
        <color theme="1"/>
        <rFont val="Calibri"/>
        <family val="2"/>
        <scheme val="minor"/>
      </rPr>
      <t xml:space="preserve">: 750 RON </t>
    </r>
    <r>
      <rPr>
        <sz val="11"/>
        <color theme="1"/>
        <rFont val="Calibri"/>
        <family val="2"/>
        <scheme val="minor"/>
      </rPr>
      <t>pentru creditele HL (cu exceptia creditelor de refinantare); 
* Comision de administrare lunar credit in valoare fixa de 75 RON/luna pt creditele ipotecare RON</t>
    </r>
  </si>
  <si>
    <t>HL RON</t>
  </si>
  <si>
    <r>
      <rPr>
        <b/>
        <sz val="11"/>
        <color rgb="FF002060"/>
        <rFont val="Calibri"/>
        <family val="2"/>
        <scheme val="minor"/>
      </rPr>
      <t>5,99%</t>
    </r>
    <r>
      <rPr>
        <sz val="11"/>
        <color rgb="FF002060"/>
        <rFont val="Calibri"/>
        <family val="2"/>
        <scheme val="minor"/>
      </rPr>
      <t xml:space="preserve">, urmata de IRCC + </t>
    </r>
    <r>
      <rPr>
        <b/>
        <sz val="11"/>
        <color rgb="FF002060"/>
        <rFont val="Calibri"/>
        <family val="2"/>
        <scheme val="minor"/>
      </rPr>
      <t>3,30</t>
    </r>
    <r>
      <rPr>
        <sz val="11"/>
        <color rgb="FF002060"/>
        <rFont val="Calibri"/>
        <family val="2"/>
        <scheme val="minor"/>
      </rPr>
      <t xml:space="preserve"> p.p </t>
    </r>
  </si>
  <si>
    <r>
      <rPr>
        <b/>
        <sz val="11"/>
        <color rgb="FF002060"/>
        <rFont val="Calibri"/>
        <family val="2"/>
        <scheme val="minor"/>
      </rPr>
      <t>6,79%</t>
    </r>
    <r>
      <rPr>
        <sz val="11"/>
        <color rgb="FF002060"/>
        <rFont val="Calibri"/>
        <family val="2"/>
        <scheme val="minor"/>
      </rPr>
      <t xml:space="preserve">, urmata de IRCC + </t>
    </r>
    <r>
      <rPr>
        <b/>
        <sz val="11"/>
        <color rgb="FF002060"/>
        <rFont val="Calibri"/>
        <family val="2"/>
        <scheme val="minor"/>
      </rPr>
      <t>3,30</t>
    </r>
    <r>
      <rPr>
        <sz val="11"/>
        <color rgb="FF002060"/>
        <rFont val="Calibri"/>
        <family val="2"/>
        <scheme val="minor"/>
      </rPr>
      <t xml:space="preserve"> p.p </t>
    </r>
  </si>
  <si>
    <r>
      <rPr>
        <b/>
        <sz val="11"/>
        <color theme="1"/>
        <rFont val="Calibri"/>
        <family val="2"/>
        <scheme val="minor"/>
      </rPr>
      <t xml:space="preserve">7.74% </t>
    </r>
    <r>
      <rPr>
        <sz val="11"/>
        <color theme="1"/>
        <rFont val="Calibri"/>
        <family val="2"/>
        <scheme val="minor"/>
      </rPr>
      <t>dob fixa; 
3.55% + IRCC dupa</t>
    </r>
  </si>
  <si>
    <r>
      <rPr>
        <b/>
        <sz val="11"/>
        <color theme="1"/>
        <rFont val="Calibri"/>
        <family val="2"/>
        <scheme val="minor"/>
      </rPr>
      <t xml:space="preserve">7.14% </t>
    </r>
    <r>
      <rPr>
        <sz val="11"/>
        <color theme="1"/>
        <rFont val="Calibri"/>
        <family val="2"/>
        <scheme val="minor"/>
      </rPr>
      <t>dob fixa; 
3.25% + IRCC dupa</t>
    </r>
  </si>
  <si>
    <r>
      <rPr>
        <b/>
        <sz val="11"/>
        <color theme="1"/>
        <rFont val="Calibri"/>
        <family val="2"/>
        <scheme val="minor"/>
      </rPr>
      <t xml:space="preserve">6.84% </t>
    </r>
    <r>
      <rPr>
        <sz val="11"/>
        <color theme="1"/>
        <rFont val="Calibri"/>
        <family val="2"/>
        <scheme val="minor"/>
      </rPr>
      <t>dob fixa; 
3.15% + IRCC dupa</t>
    </r>
  </si>
  <si>
    <t>Credit &lt; 300.000 lei</t>
  </si>
  <si>
    <t>Credit &gt;= 300.000 lei</t>
  </si>
  <si>
    <r>
      <rPr>
        <b/>
        <sz val="11"/>
        <color theme="1"/>
        <rFont val="Calibri"/>
        <family val="2"/>
        <scheme val="minor"/>
      </rPr>
      <t xml:space="preserve">6.09% </t>
    </r>
    <r>
      <rPr>
        <sz val="11"/>
        <color theme="1"/>
        <rFont val="Calibri"/>
        <family val="2"/>
        <scheme val="minor"/>
      </rPr>
      <t>dob fixa; 
3.00% + IRCC dupa</t>
    </r>
  </si>
  <si>
    <r>
      <rPr>
        <b/>
        <sz val="11"/>
        <color theme="1"/>
        <rFont val="Calibri"/>
        <family val="2"/>
        <scheme val="minor"/>
      </rPr>
      <t>7.44%</t>
    </r>
    <r>
      <rPr>
        <sz val="11"/>
        <color theme="1"/>
        <rFont val="Calibri"/>
        <family val="2"/>
        <scheme val="minor"/>
      </rPr>
      <t xml:space="preserve"> dob fixa; 
3.45% + IRCC dupa</t>
    </r>
  </si>
  <si>
    <r>
      <rPr>
        <b/>
        <sz val="11"/>
        <color theme="1"/>
        <rFont val="Calibri"/>
        <family val="2"/>
        <scheme val="minor"/>
      </rPr>
      <t xml:space="preserve">6.39% </t>
    </r>
    <r>
      <rPr>
        <sz val="11"/>
        <color theme="1"/>
        <rFont val="Calibri"/>
        <family val="2"/>
        <scheme val="minor"/>
      </rPr>
      <t>dob fixa; 
3.10% + IRCC dupa</t>
    </r>
  </si>
  <si>
    <t>VIRARE, AS ALLIANZ SI CC+cont curent</t>
  </si>
  <si>
    <r>
      <rPr>
        <b/>
        <sz val="11"/>
        <color theme="1"/>
        <rFont val="Calibri"/>
        <family val="2"/>
        <scheme val="minor"/>
      </rPr>
      <t xml:space="preserve">5.99% </t>
    </r>
    <r>
      <rPr>
        <sz val="11"/>
        <color theme="1"/>
        <rFont val="Calibri"/>
        <family val="2"/>
        <scheme val="minor"/>
      </rPr>
      <t>dob fixa; 
2.90% + IRCC dupa</t>
    </r>
  </si>
  <si>
    <t>RON, FARA asig viata</t>
  </si>
  <si>
    <t>Refinantare, max 60 luni</t>
  </si>
  <si>
    <t>Refinantare, max 360 luni</t>
  </si>
  <si>
    <t>EURO, FARA asig viata</t>
  </si>
  <si>
    <t>Comis analiza ZERO pt refin max 360 luni</t>
  </si>
  <si>
    <t>FIXA 30 ani, clasa energetica A</t>
  </si>
  <si>
    <r>
      <rPr>
        <b/>
        <sz val="11"/>
        <color theme="1"/>
        <rFont val="Calibri"/>
        <family val="2"/>
        <scheme val="minor"/>
      </rPr>
      <t>** Creditul VERDE</t>
    </r>
    <r>
      <rPr>
        <sz val="11"/>
        <color theme="1"/>
        <rFont val="Calibri"/>
        <family val="2"/>
        <charset val="1"/>
        <scheme val="minor"/>
      </rPr>
      <t xml:space="preserve"> = Clasa energetica A sau superioara</t>
    </r>
  </si>
  <si>
    <t xml:space="preserve">Oferta standard (fara virare) </t>
  </si>
  <si>
    <t xml:space="preserve">Discount Pachete de cont, Pensia Activa </t>
  </si>
  <si>
    <t xml:space="preserve">Oferta STANDARD </t>
  </si>
  <si>
    <t>500 RON</t>
  </si>
  <si>
    <t>6.79%</t>
  </si>
  <si>
    <t>7.09%</t>
  </si>
  <si>
    <t>5.99%</t>
  </si>
  <si>
    <t>6.49%</t>
  </si>
  <si>
    <t>ACHIZITIE LOCUINTA - CU CERTIFICAT ENERGETIC CLASA A
REFINANTARE EXCLUSIVA DE MORTGAGE - CU CERTIFICAT ENERGETIC CLASA A
ANSAMBLURI REZIDENTIALE SI IMOBILE ROGBC (ROMANIAN GREEN BUILDING COUNCIL)</t>
  </si>
  <si>
    <t>ACHIZITIE LOCUINTA - FARA CERTIFICAT ENERGETIC CLASA A
ACHIZITIE TEREN/ CONSTRUCTII - FARA CERTIFICAT ENERGETIC CLASA A
FLEXICREDIT INTEGRAL (CREDIT DE REFINANTARE MIXTA) FARA CERTIFICAT ENERGETIC CLASA A</t>
  </si>
  <si>
    <r>
      <t xml:space="preserve">Clienti inrolati in </t>
    </r>
    <r>
      <rPr>
        <b/>
        <sz val="11"/>
        <color rgb="FF1F497D"/>
        <rFont val="Calibri"/>
        <family val="2"/>
        <scheme val="minor"/>
      </rPr>
      <t xml:space="preserve">Programul de beneficii incadrati la nivel PRO  </t>
    </r>
    <r>
      <rPr>
        <i/>
        <sz val="11"/>
        <color rgb="FF1F497D"/>
        <rFont val="Calibri"/>
        <family val="2"/>
        <scheme val="minor"/>
      </rPr>
      <t>(Oferta standard -0,70 pp)</t>
    </r>
  </si>
  <si>
    <r>
      <rPr>
        <b/>
        <sz val="11"/>
        <color rgb="FF002060"/>
        <rFont val="Calibri"/>
        <family val="2"/>
        <scheme val="minor"/>
      </rPr>
      <t>5,29%</t>
    </r>
    <r>
      <rPr>
        <sz val="11"/>
        <color rgb="FF002060"/>
        <rFont val="Calibri"/>
        <family val="2"/>
        <scheme val="minor"/>
      </rPr>
      <t xml:space="preserve">, urmata de IRCC + </t>
    </r>
    <r>
      <rPr>
        <b/>
        <sz val="11"/>
        <color rgb="FF002060"/>
        <rFont val="Calibri"/>
        <family val="2"/>
        <scheme val="minor"/>
      </rPr>
      <t>2,60</t>
    </r>
    <r>
      <rPr>
        <sz val="11"/>
        <color rgb="FF002060"/>
        <rFont val="Calibri"/>
        <family val="2"/>
        <scheme val="minor"/>
      </rPr>
      <t xml:space="preserve"> p.p </t>
    </r>
  </si>
  <si>
    <r>
      <t>Clienti inrolati in</t>
    </r>
    <r>
      <rPr>
        <b/>
        <sz val="11"/>
        <color rgb="FF1F497D"/>
        <rFont val="Calibri"/>
        <family val="2"/>
        <scheme val="minor"/>
      </rPr>
      <t xml:space="preserve"> Programul de beneficii incadrati la nivel MAX/ MAX Invest</t>
    </r>
    <r>
      <rPr>
        <sz val="11"/>
        <color rgb="FF1F497D"/>
        <rFont val="Calibri"/>
        <family val="2"/>
        <scheme val="minor"/>
      </rPr>
      <t xml:space="preserve">
</t>
    </r>
    <r>
      <rPr>
        <i/>
        <sz val="11"/>
        <color rgb="FF1F497D"/>
        <rFont val="Calibri"/>
        <family val="2"/>
        <scheme val="minor"/>
      </rPr>
      <t xml:space="preserve"> (Oferta standard -1,20 pp)</t>
    </r>
  </si>
  <si>
    <r>
      <rPr>
        <b/>
        <sz val="11"/>
        <color rgb="FF002060"/>
        <rFont val="Calibri"/>
        <family val="2"/>
        <scheme val="minor"/>
      </rPr>
      <t>4,79%</t>
    </r>
    <r>
      <rPr>
        <sz val="11"/>
        <color rgb="FF002060"/>
        <rFont val="Calibri"/>
        <family val="2"/>
        <scheme val="minor"/>
      </rPr>
      <t xml:space="preserve">, urmata de IRCC + </t>
    </r>
    <r>
      <rPr>
        <b/>
        <sz val="11"/>
        <color rgb="FF002060"/>
        <rFont val="Calibri"/>
        <family val="2"/>
        <scheme val="minor"/>
      </rPr>
      <t>2,10</t>
    </r>
    <r>
      <rPr>
        <sz val="11"/>
        <color rgb="FF002060"/>
        <rFont val="Calibri"/>
        <family val="2"/>
        <scheme val="minor"/>
      </rPr>
      <t xml:space="preserve"> p.p </t>
    </r>
  </si>
  <si>
    <r>
      <rPr>
        <b/>
        <sz val="11"/>
        <color rgb="FF002060"/>
        <rFont val="Calibri"/>
        <family val="2"/>
        <scheme val="minor"/>
      </rPr>
      <t>6,09%</t>
    </r>
    <r>
      <rPr>
        <sz val="11"/>
        <color rgb="FF002060"/>
        <rFont val="Calibri"/>
        <family val="2"/>
        <scheme val="minor"/>
      </rPr>
      <t xml:space="preserve">, urmata de IRCC + </t>
    </r>
    <r>
      <rPr>
        <b/>
        <sz val="11"/>
        <color rgb="FF002060"/>
        <rFont val="Calibri"/>
        <family val="2"/>
        <scheme val="minor"/>
      </rPr>
      <t>2,60</t>
    </r>
    <r>
      <rPr>
        <sz val="11"/>
        <color rgb="FF002060"/>
        <rFont val="Calibri"/>
        <family val="2"/>
        <scheme val="minor"/>
      </rPr>
      <t xml:space="preserve"> p.p </t>
    </r>
  </si>
  <si>
    <r>
      <rPr>
        <b/>
        <sz val="11"/>
        <color rgb="FF002060"/>
        <rFont val="Calibri"/>
        <family val="2"/>
        <scheme val="minor"/>
      </rPr>
      <t>5,59%</t>
    </r>
    <r>
      <rPr>
        <sz val="11"/>
        <color rgb="FF002060"/>
        <rFont val="Calibri"/>
        <family val="2"/>
        <scheme val="minor"/>
      </rPr>
      <t xml:space="preserve">, urmata de IRCC + </t>
    </r>
    <r>
      <rPr>
        <b/>
        <sz val="11"/>
        <color rgb="FF002060"/>
        <rFont val="Calibri"/>
        <family val="2"/>
        <scheme val="minor"/>
      </rPr>
      <t>2,10</t>
    </r>
    <r>
      <rPr>
        <sz val="11"/>
        <color rgb="FF002060"/>
        <rFont val="Calibri"/>
        <family val="2"/>
        <scheme val="minor"/>
      </rPr>
      <t xml:space="preserve"> p.p </t>
    </r>
  </si>
  <si>
    <r>
      <rPr>
        <b/>
        <sz val="11"/>
        <color rgb="FF002060"/>
        <rFont val="Calibri"/>
        <family val="2"/>
        <scheme val="minor"/>
      </rPr>
      <t>9,60%</t>
    </r>
    <r>
      <rPr>
        <sz val="11"/>
        <color rgb="FF002060"/>
        <rFont val="Calibri"/>
        <family val="2"/>
        <scheme val="minor"/>
      </rPr>
      <t xml:space="preserve">, urmata de IRCC + </t>
    </r>
    <r>
      <rPr>
        <b/>
        <sz val="11"/>
        <color rgb="FF002060"/>
        <rFont val="Calibri"/>
        <family val="2"/>
        <scheme val="minor"/>
      </rPr>
      <t>3,30</t>
    </r>
    <r>
      <rPr>
        <sz val="11"/>
        <color rgb="FF002060"/>
        <rFont val="Calibri"/>
        <family val="2"/>
        <scheme val="minor"/>
      </rPr>
      <t xml:space="preserve"> p.p </t>
    </r>
  </si>
  <si>
    <r>
      <rPr>
        <b/>
        <sz val="11"/>
        <color rgb="FF002060"/>
        <rFont val="Calibri"/>
        <family val="2"/>
        <scheme val="minor"/>
      </rPr>
      <t>8,90%</t>
    </r>
    <r>
      <rPr>
        <sz val="11"/>
        <color rgb="FF002060"/>
        <rFont val="Calibri"/>
        <family val="2"/>
        <scheme val="minor"/>
      </rPr>
      <t xml:space="preserve">, urmata de IRCC + </t>
    </r>
    <r>
      <rPr>
        <b/>
        <sz val="11"/>
        <color rgb="FF002060"/>
        <rFont val="Calibri"/>
        <family val="2"/>
        <scheme val="minor"/>
      </rPr>
      <t>2,60</t>
    </r>
    <r>
      <rPr>
        <sz val="11"/>
        <color rgb="FF002060"/>
        <rFont val="Calibri"/>
        <family val="2"/>
        <scheme val="minor"/>
      </rPr>
      <t xml:space="preserve"> p.p </t>
    </r>
  </si>
  <si>
    <r>
      <rPr>
        <b/>
        <sz val="11"/>
        <color rgb="FF002060"/>
        <rFont val="Calibri"/>
        <family val="2"/>
        <scheme val="minor"/>
      </rPr>
      <t>8,40%</t>
    </r>
    <r>
      <rPr>
        <sz val="11"/>
        <color rgb="FF002060"/>
        <rFont val="Calibri"/>
        <family val="2"/>
        <scheme val="minor"/>
      </rPr>
      <t xml:space="preserve">, urmata de IRCC + </t>
    </r>
    <r>
      <rPr>
        <b/>
        <sz val="11"/>
        <color rgb="FF002060"/>
        <rFont val="Calibri"/>
        <family val="2"/>
        <scheme val="minor"/>
      </rPr>
      <t>2,10</t>
    </r>
    <r>
      <rPr>
        <sz val="11"/>
        <color rgb="FF002060"/>
        <rFont val="Calibri"/>
        <family val="2"/>
        <scheme val="minor"/>
      </rPr>
      <t xml:space="preserve"> p.p </t>
    </r>
  </si>
  <si>
    <t>FIXA 5 ANI</t>
  </si>
  <si>
    <t>FIXA 10 ANI</t>
  </si>
  <si>
    <r>
      <rPr>
        <b/>
        <sz val="11"/>
        <color theme="1"/>
        <rFont val="Calibri"/>
        <family val="2"/>
        <scheme val="minor"/>
      </rPr>
      <t xml:space="preserve">6.24% </t>
    </r>
    <r>
      <rPr>
        <sz val="11"/>
        <color theme="1"/>
        <rFont val="Calibri"/>
        <family val="2"/>
        <scheme val="minor"/>
      </rPr>
      <t>dob fixa; 
3.25% + IRCC dupa</t>
    </r>
  </si>
  <si>
    <r>
      <rPr>
        <b/>
        <sz val="11"/>
        <color theme="1"/>
        <rFont val="Calibri"/>
        <family val="2"/>
        <scheme val="minor"/>
      </rPr>
      <t xml:space="preserve">5.64% </t>
    </r>
    <r>
      <rPr>
        <sz val="11"/>
        <color theme="1"/>
        <rFont val="Calibri"/>
        <family val="2"/>
        <scheme val="minor"/>
      </rPr>
      <t>dob fixa; 
3.10% + IRCC dupa</t>
    </r>
  </si>
  <si>
    <r>
      <rPr>
        <b/>
        <sz val="11"/>
        <color theme="1"/>
        <rFont val="Calibri"/>
        <family val="2"/>
        <scheme val="minor"/>
      </rPr>
      <t xml:space="preserve">5.49% </t>
    </r>
    <r>
      <rPr>
        <sz val="11"/>
        <color theme="1"/>
        <rFont val="Calibri"/>
        <family val="2"/>
        <scheme val="minor"/>
      </rPr>
      <t>dob fixa; 
3.00% + IRCC dupa</t>
    </r>
  </si>
  <si>
    <r>
      <rPr>
        <b/>
        <sz val="11"/>
        <color theme="1"/>
        <rFont val="Calibri"/>
        <family val="2"/>
        <scheme val="minor"/>
      </rPr>
      <t xml:space="preserve">6.09% </t>
    </r>
    <r>
      <rPr>
        <sz val="11"/>
        <color theme="1"/>
        <rFont val="Calibri"/>
        <family val="2"/>
        <scheme val="minor"/>
      </rPr>
      <t>dob fixa; 
3.15% + IRCC dupa</t>
    </r>
  </si>
  <si>
    <r>
      <rPr>
        <b/>
        <sz val="11"/>
        <color theme="1"/>
        <rFont val="Calibri"/>
        <family val="2"/>
        <scheme val="minor"/>
      </rPr>
      <t xml:space="preserve">5.09% </t>
    </r>
    <r>
      <rPr>
        <sz val="11"/>
        <color theme="1"/>
        <rFont val="Calibri"/>
        <family val="2"/>
        <scheme val="minor"/>
      </rPr>
      <t>dob fixa; 
2.85% + IRCC dupa</t>
    </r>
  </si>
  <si>
    <r>
      <rPr>
        <b/>
        <sz val="11"/>
        <color theme="1"/>
        <rFont val="Calibri"/>
        <family val="2"/>
        <scheme val="minor"/>
      </rPr>
      <t xml:space="preserve">4.99% </t>
    </r>
    <r>
      <rPr>
        <sz val="11"/>
        <color theme="1"/>
        <rFont val="Calibri"/>
        <family val="2"/>
        <scheme val="minor"/>
      </rPr>
      <t>dob fixa; 
2.75% + IRCC dupa</t>
    </r>
  </si>
  <si>
    <r>
      <rPr>
        <b/>
        <sz val="11"/>
        <color theme="1"/>
        <rFont val="Calibri"/>
        <family val="2"/>
        <scheme val="minor"/>
      </rPr>
      <t xml:space="preserve">5.24% </t>
    </r>
    <r>
      <rPr>
        <sz val="11"/>
        <color theme="1"/>
        <rFont val="Calibri"/>
        <family val="2"/>
        <scheme val="minor"/>
      </rPr>
      <t>dob fixa; 
2.95% + IRCC dupa</t>
    </r>
  </si>
  <si>
    <r>
      <t xml:space="preserve">PATRIA BANK
</t>
    </r>
    <r>
      <rPr>
        <sz val="11"/>
        <color theme="1"/>
        <rFont val="Calibri"/>
        <family val="2"/>
        <scheme val="minor"/>
      </rPr>
      <t>max 250.000 EURO</t>
    </r>
    <r>
      <rPr>
        <b/>
        <sz val="11"/>
        <color theme="1"/>
        <rFont val="Calibri"/>
        <family val="2"/>
        <scheme val="minor"/>
      </rPr>
      <t xml:space="preserve">
</t>
    </r>
    <r>
      <rPr>
        <sz val="11"/>
        <color theme="1"/>
        <rFont val="Calibri"/>
        <family val="2"/>
        <scheme val="minor"/>
      </rPr>
      <t>- analiza dosar 0 lei/ Euro (Achizitie) si 900 lei/ 200 Euro (NPI)
- admin lunara 20 lei/ 6 euro</t>
    </r>
  </si>
  <si>
    <r>
      <rPr>
        <b/>
        <sz val="11"/>
        <color theme="1"/>
        <rFont val="Calibri"/>
        <family val="2"/>
        <scheme val="minor"/>
      </rPr>
      <t>BRD</t>
    </r>
    <r>
      <rPr>
        <sz val="11"/>
        <color theme="1"/>
        <rFont val="Calibri"/>
        <family val="2"/>
        <charset val="1"/>
        <scheme val="minor"/>
      </rPr>
      <t xml:space="preserve">
analiza dosar 900 lei</t>
    </r>
  </si>
  <si>
    <r>
      <rPr>
        <b/>
        <sz val="11"/>
        <color theme="1"/>
        <rFont val="Calibri"/>
        <family val="2"/>
        <scheme val="minor"/>
      </rPr>
      <t>5.30%</t>
    </r>
    <r>
      <rPr>
        <sz val="11"/>
        <color theme="1"/>
        <rFont val="Calibri"/>
        <family val="2"/>
        <scheme val="minor"/>
      </rPr>
      <t xml:space="preserve"> rata dobanda fixa; IRCC+2.29%</t>
    </r>
  </si>
  <si>
    <r>
      <rPr>
        <b/>
        <sz val="11"/>
        <color theme="1"/>
        <rFont val="Calibri"/>
        <family val="2"/>
        <scheme val="minor"/>
      </rPr>
      <t>5.50%</t>
    </r>
    <r>
      <rPr>
        <sz val="11"/>
        <color theme="1"/>
        <rFont val="Calibri"/>
        <family val="2"/>
        <scheme val="minor"/>
      </rPr>
      <t xml:space="preserve"> rata dobanda fixa; IRCC+2.49%</t>
    </r>
  </si>
  <si>
    <t>5.58% rata dobanda fixa; IRCC+2.54%</t>
  </si>
  <si>
    <t>5.79% rata dobanda fixa; IRCC+2.77%</t>
  </si>
  <si>
    <t>HABITAT REFINANTARE - REFINANTARE EXTERNA/ INTERNA/ MIXTA  *</t>
  </si>
  <si>
    <t>Clasa energetica A / NON A</t>
  </si>
  <si>
    <r>
      <t>*</t>
    </r>
    <r>
      <rPr>
        <i/>
        <sz val="11"/>
        <color rgb="FFFF0000"/>
        <rFont val="Calibri"/>
        <family val="2"/>
        <scheme val="minor"/>
      </rPr>
      <t xml:space="preserve"> </t>
    </r>
    <r>
      <rPr>
        <b/>
        <i/>
        <sz val="11"/>
        <color rgb="FFFF0000"/>
        <rFont val="Calibri"/>
        <family val="2"/>
        <scheme val="minor"/>
      </rPr>
      <t>Comision analiza dosar ZERO (DOAR LA REFINANTARE)</t>
    </r>
    <r>
      <rPr>
        <i/>
        <sz val="11"/>
        <color theme="1"/>
        <rFont val="Calibri"/>
        <family val="2"/>
        <scheme val="minor"/>
      </rPr>
      <t xml:space="preserve">
-	Evaluare imobil: 0 (daca evaluatorul este desemnat de banca)</t>
    </r>
  </si>
  <si>
    <t xml:space="preserve">21-45 ani </t>
  </si>
  <si>
    <t>LTV &lt;= 80%</t>
  </si>
  <si>
    <t>LTV &gt; 80%</t>
  </si>
  <si>
    <t>HABITAT CLASA ENERGETICA NON A (cel putin unul din imobilele aduse in garantie)</t>
  </si>
  <si>
    <r>
      <rPr>
        <b/>
        <sz val="11"/>
        <color theme="1"/>
        <rFont val="Calibri"/>
        <family val="2"/>
        <scheme val="minor"/>
      </rPr>
      <t>5.49%</t>
    </r>
    <r>
      <rPr>
        <sz val="11"/>
        <color theme="1"/>
        <rFont val="Calibri"/>
        <family val="2"/>
        <scheme val="minor"/>
      </rPr>
      <t xml:space="preserve"> rata dobanda fixa; IRCC+2.59%</t>
    </r>
  </si>
  <si>
    <r>
      <rPr>
        <b/>
        <sz val="11"/>
        <color theme="1"/>
        <rFont val="Calibri"/>
        <family val="2"/>
        <scheme val="minor"/>
      </rPr>
      <t>5.99%</t>
    </r>
    <r>
      <rPr>
        <sz val="11"/>
        <color theme="1"/>
        <rFont val="Calibri"/>
        <family val="2"/>
        <scheme val="minor"/>
      </rPr>
      <t xml:space="preserve"> rata dobanda fixa; IRCC+3.09%</t>
    </r>
  </si>
  <si>
    <r>
      <rPr>
        <b/>
        <i/>
        <sz val="12"/>
        <rFont val="Calibri"/>
        <family val="2"/>
        <scheme val="minor"/>
      </rPr>
      <t xml:space="preserve">CONSTRUCTIE </t>
    </r>
    <r>
      <rPr>
        <b/>
        <i/>
        <sz val="11"/>
        <rFont val="Calibri"/>
        <family val="2"/>
        <scheme val="minor"/>
      </rPr>
      <t xml:space="preserve">
Comision analiza 1.500 RON</t>
    </r>
  </si>
  <si>
    <r>
      <t xml:space="preserve">
</t>
    </r>
    <r>
      <rPr>
        <b/>
        <sz val="11"/>
        <color theme="1"/>
        <rFont val="Calibri"/>
        <family val="2"/>
        <scheme val="minor"/>
      </rPr>
      <t xml:space="preserve"> ATENTIE:</t>
    </r>
    <r>
      <rPr>
        <sz val="11"/>
        <color theme="1"/>
        <rFont val="Calibri"/>
        <family val="2"/>
        <scheme val="minor"/>
      </rPr>
      <t xml:space="preserve">
* Pentru accesarea ofertei reduse de dobanda vor trebui indeplinite simultan conditiile legate de rulaj, asigurare de viata precum si finalizarea constructiei, aspect verificat prin prezentarea documentatiei contractuale ce atesta edificarea constructiei.</t>
    </r>
  </si>
  <si>
    <t>HABITAT CLASA ENERGETICA A</t>
  </si>
  <si>
    <r>
      <rPr>
        <b/>
        <sz val="11"/>
        <color rgb="FF002060"/>
        <rFont val="Calibri"/>
        <family val="2"/>
        <scheme val="minor"/>
      </rPr>
      <t>6,19%</t>
    </r>
    <r>
      <rPr>
        <sz val="11"/>
        <color rgb="FF002060"/>
        <rFont val="Calibri"/>
        <family val="2"/>
        <scheme val="minor"/>
      </rPr>
      <t xml:space="preserve">, urmata de IRCC + </t>
    </r>
    <r>
      <rPr>
        <b/>
        <sz val="11"/>
        <color rgb="FF002060"/>
        <rFont val="Calibri"/>
        <family val="2"/>
        <scheme val="minor"/>
      </rPr>
      <t>3,50</t>
    </r>
    <r>
      <rPr>
        <sz val="11"/>
        <color rgb="FF002060"/>
        <rFont val="Calibri"/>
        <family val="2"/>
        <scheme val="minor"/>
      </rPr>
      <t xml:space="preserve"> p.p </t>
    </r>
  </si>
  <si>
    <r>
      <rPr>
        <b/>
        <sz val="11"/>
        <color rgb="FF002060"/>
        <rFont val="Calibri"/>
        <family val="2"/>
        <scheme val="minor"/>
      </rPr>
      <t>5,49%</t>
    </r>
    <r>
      <rPr>
        <sz val="11"/>
        <color rgb="FF002060"/>
        <rFont val="Calibri"/>
        <family val="2"/>
        <scheme val="minor"/>
      </rPr>
      <t xml:space="preserve">, urmata de IRCC + </t>
    </r>
    <r>
      <rPr>
        <b/>
        <sz val="11"/>
        <color rgb="FF002060"/>
        <rFont val="Calibri"/>
        <family val="2"/>
        <scheme val="minor"/>
      </rPr>
      <t>2,80</t>
    </r>
    <r>
      <rPr>
        <sz val="11"/>
        <color rgb="FF002060"/>
        <rFont val="Calibri"/>
        <family val="2"/>
        <scheme val="minor"/>
      </rPr>
      <t xml:space="preserve"> p.p </t>
    </r>
  </si>
  <si>
    <r>
      <rPr>
        <b/>
        <sz val="11"/>
        <color rgb="FF002060"/>
        <rFont val="Calibri"/>
        <family val="2"/>
        <scheme val="minor"/>
      </rPr>
      <t>4,99%</t>
    </r>
    <r>
      <rPr>
        <sz val="11"/>
        <color rgb="FF002060"/>
        <rFont val="Calibri"/>
        <family val="2"/>
        <scheme val="minor"/>
      </rPr>
      <t>, urmata de IRCC +</t>
    </r>
    <r>
      <rPr>
        <b/>
        <sz val="11"/>
        <color rgb="FF002060"/>
        <rFont val="Calibri"/>
        <family val="2"/>
        <scheme val="minor"/>
      </rPr>
      <t>2,30</t>
    </r>
    <r>
      <rPr>
        <sz val="11"/>
        <color rgb="FF002060"/>
        <rFont val="Calibri"/>
        <family val="2"/>
        <scheme val="minor"/>
      </rPr>
      <t xml:space="preserve"> p.p </t>
    </r>
  </si>
  <si>
    <r>
      <rPr>
        <b/>
        <sz val="11"/>
        <color rgb="FF002060"/>
        <rFont val="Calibri"/>
        <family val="2"/>
        <scheme val="minor"/>
      </rPr>
      <t>6,99%</t>
    </r>
    <r>
      <rPr>
        <sz val="11"/>
        <color rgb="FF002060"/>
        <rFont val="Calibri"/>
        <family val="2"/>
        <scheme val="minor"/>
      </rPr>
      <t xml:space="preserve">, urmata de IRCC + </t>
    </r>
    <r>
      <rPr>
        <b/>
        <sz val="11"/>
        <color rgb="FF002060"/>
        <rFont val="Calibri"/>
        <family val="2"/>
        <scheme val="minor"/>
      </rPr>
      <t>3,50</t>
    </r>
    <r>
      <rPr>
        <sz val="11"/>
        <color rgb="FF002060"/>
        <rFont val="Calibri"/>
        <family val="2"/>
        <scheme val="minor"/>
      </rPr>
      <t xml:space="preserve"> p.p </t>
    </r>
  </si>
  <si>
    <r>
      <rPr>
        <b/>
        <sz val="11"/>
        <color rgb="FF002060"/>
        <rFont val="Calibri"/>
        <family val="2"/>
        <scheme val="minor"/>
      </rPr>
      <t>9,80%</t>
    </r>
    <r>
      <rPr>
        <sz val="11"/>
        <color rgb="FF002060"/>
        <rFont val="Calibri"/>
        <family val="2"/>
        <scheme val="minor"/>
      </rPr>
      <t xml:space="preserve">, urmata de IRCC + </t>
    </r>
    <r>
      <rPr>
        <b/>
        <sz val="11"/>
        <color rgb="FF002060"/>
        <rFont val="Calibri"/>
        <family val="2"/>
        <scheme val="minor"/>
      </rPr>
      <t>3,50</t>
    </r>
    <r>
      <rPr>
        <sz val="11"/>
        <color rgb="FF002060"/>
        <rFont val="Calibri"/>
        <family val="2"/>
        <scheme val="minor"/>
      </rPr>
      <t xml:space="preserve"> p.p </t>
    </r>
  </si>
  <si>
    <r>
      <rPr>
        <b/>
        <sz val="11"/>
        <color rgb="FF002060"/>
        <rFont val="Calibri"/>
        <family val="2"/>
        <scheme val="minor"/>
      </rPr>
      <t>6,29%</t>
    </r>
    <r>
      <rPr>
        <sz val="11"/>
        <color rgb="FF002060"/>
        <rFont val="Calibri"/>
        <family val="2"/>
        <scheme val="minor"/>
      </rPr>
      <t xml:space="preserve">, urmata de IRCC + </t>
    </r>
    <r>
      <rPr>
        <b/>
        <sz val="11"/>
        <color rgb="FF002060"/>
        <rFont val="Calibri"/>
        <family val="2"/>
        <scheme val="minor"/>
      </rPr>
      <t>2,80</t>
    </r>
    <r>
      <rPr>
        <sz val="11"/>
        <color rgb="FF002060"/>
        <rFont val="Calibri"/>
        <family val="2"/>
        <scheme val="minor"/>
      </rPr>
      <t xml:space="preserve"> p.p </t>
    </r>
  </si>
  <si>
    <r>
      <rPr>
        <b/>
        <sz val="11"/>
        <color rgb="FF002060"/>
        <rFont val="Calibri"/>
        <family val="2"/>
        <scheme val="minor"/>
      </rPr>
      <t>9,10%</t>
    </r>
    <r>
      <rPr>
        <sz val="11"/>
        <color rgb="FF002060"/>
        <rFont val="Calibri"/>
        <family val="2"/>
        <scheme val="minor"/>
      </rPr>
      <t xml:space="preserve">, urmata de IRCC + </t>
    </r>
    <r>
      <rPr>
        <b/>
        <sz val="11"/>
        <color rgb="FF002060"/>
        <rFont val="Calibri"/>
        <family val="2"/>
        <scheme val="minor"/>
      </rPr>
      <t>2,80</t>
    </r>
    <r>
      <rPr>
        <sz val="11"/>
        <color rgb="FF002060"/>
        <rFont val="Calibri"/>
        <family val="2"/>
        <scheme val="minor"/>
      </rPr>
      <t xml:space="preserve"> p.p </t>
    </r>
  </si>
  <si>
    <r>
      <rPr>
        <b/>
        <sz val="11"/>
        <color rgb="FF002060"/>
        <rFont val="Calibri"/>
        <family val="2"/>
        <scheme val="minor"/>
      </rPr>
      <t>5,79%</t>
    </r>
    <r>
      <rPr>
        <sz val="11"/>
        <color rgb="FF002060"/>
        <rFont val="Calibri"/>
        <family val="2"/>
        <scheme val="minor"/>
      </rPr>
      <t>, urmata de IRCC +</t>
    </r>
    <r>
      <rPr>
        <b/>
        <sz val="11"/>
        <color rgb="FF002060"/>
        <rFont val="Calibri"/>
        <family val="2"/>
        <scheme val="minor"/>
      </rPr>
      <t>2,30</t>
    </r>
    <r>
      <rPr>
        <sz val="11"/>
        <color rgb="FF002060"/>
        <rFont val="Calibri"/>
        <family val="2"/>
        <scheme val="minor"/>
      </rPr>
      <t xml:space="preserve"> p.p </t>
    </r>
  </si>
  <si>
    <r>
      <rPr>
        <b/>
        <sz val="11"/>
        <color rgb="FF002060"/>
        <rFont val="Calibri"/>
        <family val="2"/>
        <scheme val="minor"/>
      </rPr>
      <t>8,60%</t>
    </r>
    <r>
      <rPr>
        <sz val="11"/>
        <color rgb="FF002060"/>
        <rFont val="Calibri"/>
        <family val="2"/>
        <scheme val="minor"/>
      </rPr>
      <t>, urmata de IRCC +</t>
    </r>
    <r>
      <rPr>
        <b/>
        <sz val="11"/>
        <color rgb="FF002060"/>
        <rFont val="Calibri"/>
        <family val="2"/>
        <scheme val="minor"/>
      </rPr>
      <t>2,30</t>
    </r>
    <r>
      <rPr>
        <sz val="11"/>
        <color rgb="FF002060"/>
        <rFont val="Calibri"/>
        <family val="2"/>
        <scheme val="minor"/>
      </rPr>
      <t xml:space="preserve"> p.p </t>
    </r>
  </si>
  <si>
    <t>FIXA 2 ANI RON</t>
  </si>
  <si>
    <r>
      <rPr>
        <b/>
        <sz val="11"/>
        <color theme="1"/>
        <rFont val="Calibri"/>
        <family val="2"/>
        <scheme val="minor"/>
      </rPr>
      <t>5,05%</t>
    </r>
    <r>
      <rPr>
        <sz val="11"/>
        <color theme="1"/>
        <rFont val="Calibri"/>
        <family val="2"/>
        <scheme val="minor"/>
      </rPr>
      <t xml:space="preserve"> FIXA, IRCC + 1,90%</t>
    </r>
  </si>
  <si>
    <r>
      <rPr>
        <b/>
        <sz val="11"/>
        <color theme="1"/>
        <rFont val="Calibri"/>
        <family val="2"/>
        <scheme val="minor"/>
      </rPr>
      <t>5,15%</t>
    </r>
    <r>
      <rPr>
        <sz val="11"/>
        <color theme="1"/>
        <rFont val="Calibri"/>
        <family val="2"/>
        <scheme val="minor"/>
      </rPr>
      <t xml:space="preserve"> FIXA, IRCC + 1,90%</t>
    </r>
  </si>
  <si>
    <r>
      <rPr>
        <b/>
        <sz val="11"/>
        <color theme="1"/>
        <rFont val="Calibri"/>
        <family val="2"/>
        <scheme val="minor"/>
      </rPr>
      <t>6,50% FIXA</t>
    </r>
    <r>
      <rPr>
        <sz val="11"/>
        <color theme="1"/>
        <rFont val="Calibri"/>
        <family val="2"/>
        <scheme val="minor"/>
      </rPr>
      <t>, IRCC + 2,80%</t>
    </r>
  </si>
  <si>
    <t>6.95%</t>
  </si>
  <si>
    <t>7.15%</t>
  </si>
  <si>
    <t>7.32%</t>
  </si>
  <si>
    <t>7.53%</t>
  </si>
  <si>
    <t>6.85%</t>
  </si>
  <si>
    <t>7.05%</t>
  </si>
  <si>
    <t>Marja dobanda Variabila (din anul 6 de creditare)</t>
  </si>
  <si>
    <t>IRCC + 2,95%</t>
  </si>
  <si>
    <r>
      <rPr>
        <b/>
        <sz val="11"/>
        <color theme="1"/>
        <rFont val="Calibri"/>
        <family val="2"/>
        <scheme val="minor"/>
      </rPr>
      <t>4.99%</t>
    </r>
    <r>
      <rPr>
        <sz val="11"/>
        <color theme="1"/>
        <rFont val="Calibri"/>
        <family val="2"/>
        <scheme val="minor"/>
      </rPr>
      <t xml:space="preserve"> rata dobanda fixa; IRCC+2.20%</t>
    </r>
  </si>
  <si>
    <r>
      <rPr>
        <b/>
        <sz val="11"/>
        <color theme="1"/>
        <rFont val="Calibri"/>
        <family val="2"/>
        <scheme val="minor"/>
      </rPr>
      <t>5.29%</t>
    </r>
    <r>
      <rPr>
        <sz val="11"/>
        <color theme="1"/>
        <rFont val="Calibri"/>
        <family val="2"/>
        <scheme val="minor"/>
      </rPr>
      <t xml:space="preserve"> rata dobanda fixa; IRCC+2.30%</t>
    </r>
  </si>
  <si>
    <r>
      <rPr>
        <b/>
        <sz val="11"/>
        <color theme="1"/>
        <rFont val="Calibri"/>
        <family val="2"/>
        <scheme val="minor"/>
      </rPr>
      <t>5.99%</t>
    </r>
    <r>
      <rPr>
        <sz val="11"/>
        <color theme="1"/>
        <rFont val="Calibri"/>
        <family val="2"/>
        <scheme val="minor"/>
      </rPr>
      <t xml:space="preserve"> rata dobanda fixa; IRCC+2.50%</t>
    </r>
  </si>
  <si>
    <r>
      <t xml:space="preserve">5.20% </t>
    </r>
    <r>
      <rPr>
        <sz val="11"/>
        <color theme="1"/>
        <rFont val="Calibri"/>
        <family val="2"/>
      </rPr>
      <t>rata dobanda fixa; IRCC+2.50%</t>
    </r>
  </si>
  <si>
    <t>FIXA 3 ANI CLASA A+ *</t>
  </si>
  <si>
    <t>FIXA 3 ANI RON</t>
  </si>
  <si>
    <r>
      <rPr>
        <b/>
        <sz val="11"/>
        <color theme="1"/>
        <rFont val="Calibri"/>
        <family val="2"/>
        <scheme val="minor"/>
      </rPr>
      <t>5,35%</t>
    </r>
    <r>
      <rPr>
        <sz val="11"/>
        <color theme="1"/>
        <rFont val="Calibri"/>
        <family val="2"/>
        <scheme val="minor"/>
      </rPr>
      <t xml:space="preserve"> FIXA, IRCC + 2,10%</t>
    </r>
  </si>
  <si>
    <r>
      <rPr>
        <b/>
        <sz val="11"/>
        <color theme="1"/>
        <rFont val="Calibri"/>
        <family val="2"/>
        <scheme val="minor"/>
      </rPr>
      <t>6,90% FIXA</t>
    </r>
    <r>
      <rPr>
        <sz val="11"/>
        <color theme="1"/>
        <rFont val="Calibri"/>
        <family val="2"/>
        <scheme val="minor"/>
      </rPr>
      <t>, IRCC + 2,80%</t>
    </r>
  </si>
  <si>
    <r>
      <rPr>
        <b/>
        <sz val="11"/>
        <color theme="1"/>
        <rFont val="Calibri"/>
        <family val="2"/>
        <scheme val="minor"/>
      </rPr>
      <t>5,40%</t>
    </r>
    <r>
      <rPr>
        <sz val="11"/>
        <color theme="1"/>
        <rFont val="Calibri"/>
        <family val="2"/>
        <scheme val="minor"/>
      </rPr>
      <t xml:space="preserve"> FIXA, IRCC + 2,10%</t>
    </r>
  </si>
  <si>
    <r>
      <rPr>
        <b/>
        <sz val="11"/>
        <color theme="1"/>
        <rFont val="Calibri"/>
        <family val="2"/>
        <scheme val="minor"/>
      </rPr>
      <t>VOUCHER** :</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se acorda pentru creditele Imobiliare/ Ipotecare,</t>
    </r>
    <r>
      <rPr>
        <b/>
        <sz val="11"/>
        <color theme="1"/>
        <rFont val="Calibri"/>
        <family val="2"/>
        <scheme val="minor"/>
      </rPr>
      <t xml:space="preserve"> </t>
    </r>
    <r>
      <rPr>
        <sz val="11"/>
        <color theme="1"/>
        <rFont val="Calibri"/>
        <family val="2"/>
        <scheme val="minor"/>
      </rPr>
      <t>cu</t>
    </r>
    <r>
      <rPr>
        <b/>
        <sz val="11"/>
        <color theme="1"/>
        <rFont val="Calibri"/>
        <family val="2"/>
        <scheme val="minor"/>
      </rPr>
      <t xml:space="preserve"> destinatie </t>
    </r>
    <r>
      <rPr>
        <i/>
        <u/>
        <sz val="11"/>
        <color theme="1"/>
        <rFont val="Calibri"/>
        <family val="2"/>
        <scheme val="minor"/>
      </rPr>
      <t>Refinantare externa</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t>
    </r>
    <r>
      <rPr>
        <b/>
        <sz val="11"/>
        <color theme="1"/>
        <rFont val="Calibri"/>
        <family val="2"/>
        <scheme val="minor"/>
      </rPr>
      <t>NU intra</t>
    </r>
    <r>
      <rPr>
        <sz val="11"/>
        <color theme="1"/>
        <rFont val="Calibri"/>
        <family val="2"/>
        <scheme val="minor"/>
      </rPr>
      <t xml:space="preserve"> in aceasta campanie acordarea de credite Prima Casa/Noua Casa si/sau imobiliare/ipotecare pentru </t>
    </r>
    <r>
      <rPr>
        <i/>
        <u/>
        <sz val="11"/>
        <color theme="1"/>
        <rFont val="Calibri"/>
        <family val="2"/>
        <scheme val="minor"/>
      </rPr>
      <t>achizitie</t>
    </r>
    <r>
      <rPr>
        <sz val="11"/>
        <color theme="1"/>
        <rFont val="Calibri"/>
        <family val="2"/>
        <scheme val="minor"/>
      </rPr>
      <t xml:space="preserve">
</t>
    </r>
    <r>
      <rPr>
        <b/>
        <sz val="11"/>
        <color theme="1"/>
        <rFont val="Calibri"/>
        <family val="2"/>
        <scheme val="minor"/>
      </rPr>
      <t>3.</t>
    </r>
    <r>
      <rPr>
        <sz val="11"/>
        <color theme="1"/>
        <rFont val="Calibri"/>
        <family val="2"/>
        <scheme val="minor"/>
      </rPr>
      <t xml:space="preserve"> Contravaloarea neta a voucher-ului (2.000 lei) va fi virata in contul curent in lei al titularului de credit, in termen de maxim 5 zile de la momentul tragerii creditului.</t>
    </r>
  </si>
  <si>
    <r>
      <t xml:space="preserve">UNICREDIT </t>
    </r>
    <r>
      <rPr>
        <sz val="11"/>
        <color theme="1"/>
        <rFont val="Calibri"/>
        <family val="2"/>
        <charset val="1"/>
        <scheme val="minor"/>
      </rPr>
      <t xml:space="preserve">
analiza dosar 900 lei
</t>
    </r>
    <r>
      <rPr>
        <b/>
        <i/>
        <sz val="11"/>
        <color theme="8"/>
        <rFont val="Calibri"/>
        <family val="2"/>
        <scheme val="minor"/>
      </rPr>
      <t>Campanie PREMIU CUMULAT *** pana pe 30.04.2026</t>
    </r>
  </si>
  <si>
    <r>
      <rPr>
        <b/>
        <sz val="11"/>
        <color theme="1"/>
        <rFont val="Calibri"/>
        <family val="2"/>
        <scheme val="minor"/>
      </rPr>
      <t>*** Campanie cu premiu cumulat</t>
    </r>
    <r>
      <rPr>
        <sz val="11"/>
        <color theme="1"/>
        <rFont val="Calibri"/>
        <family val="2"/>
        <charset val="1"/>
        <scheme val="minor"/>
      </rPr>
      <t xml:space="preserve">, platit in luna urmatoare acordarii creditului, in urmatoarele conditii cumulative: 
a)  2000 RON premiu in bani in valoare neta, pentru acoperirea costurilor conexe imprumutului (se va vira in CONT DE ECONOMII) SI
b)  Incheierea de catre banca a politei facultative de locuinta My Home pe 1 an de zile, iar aceasta se va achita de catre client </t>
    </r>
  </si>
  <si>
    <r>
      <t xml:space="preserve">** </t>
    </r>
    <r>
      <rPr>
        <b/>
        <sz val="10"/>
        <color theme="1"/>
        <rFont val="Arial"/>
        <family val="2"/>
      </rPr>
      <t>Conditii PREMIU in valoare de 2.000 RON:</t>
    </r>
    <r>
      <rPr>
        <sz val="10"/>
        <color theme="1"/>
        <rFont val="Arial"/>
        <family val="2"/>
      </rPr>
      <t xml:space="preserve">
</t>
    </r>
    <r>
      <rPr>
        <b/>
        <sz val="10"/>
        <color theme="1"/>
        <rFont val="Arial"/>
        <family val="2"/>
      </rPr>
      <t>a.</t>
    </r>
    <r>
      <rPr>
        <sz val="10"/>
        <color theme="1"/>
        <rFont val="Arial"/>
        <family val="2"/>
      </rPr>
      <t xml:space="preserve"> </t>
    </r>
    <r>
      <rPr>
        <b/>
        <sz val="10"/>
        <color theme="1"/>
        <rFont val="Arial"/>
        <family val="2"/>
      </rPr>
      <t>refinantarea creditelor</t>
    </r>
    <r>
      <rPr>
        <sz val="10"/>
        <color theme="1"/>
        <rFont val="Arial"/>
        <family val="2"/>
      </rPr>
      <t xml:space="preserve"> ipotecare sau imobiliare </t>
    </r>
    <r>
      <rPr>
        <b/>
        <sz val="10"/>
        <color theme="1"/>
        <rFont val="Arial"/>
        <family val="2"/>
      </rPr>
      <t>detinute la o alta banca</t>
    </r>
    <r>
      <rPr>
        <sz val="10"/>
        <color theme="1"/>
        <rFont val="Arial"/>
        <family val="2"/>
      </rPr>
      <t xml:space="preserve">, inclusiv credite Prima Casa sau Noua Casa;
</t>
    </r>
    <r>
      <rPr>
        <b/>
        <sz val="10"/>
        <color theme="1"/>
        <rFont val="Arial"/>
        <family val="2"/>
      </rPr>
      <t>b.</t>
    </r>
    <r>
      <rPr>
        <sz val="10"/>
        <color theme="1"/>
        <rFont val="Arial"/>
        <family val="2"/>
      </rPr>
      <t xml:space="preserve"> Clientii trebuie sa fie </t>
    </r>
    <r>
      <rPr>
        <b/>
        <sz val="10"/>
        <color theme="1"/>
        <rFont val="Arial"/>
        <family val="2"/>
      </rPr>
      <t xml:space="preserve">participanti in programul GoMAX </t>
    </r>
    <r>
      <rPr>
        <sz val="10"/>
        <color theme="1"/>
        <rFont val="Arial"/>
        <family val="2"/>
      </rPr>
      <t xml:space="preserve">sau </t>
    </r>
    <r>
      <rPr>
        <b/>
        <sz val="10"/>
        <color theme="1"/>
        <rFont val="Arial"/>
        <family val="2"/>
      </rPr>
      <t>sa incaseze salariul/ pensia in contul curent deschis la BCR</t>
    </r>
    <r>
      <rPr>
        <sz val="10"/>
        <color theme="1"/>
        <rFont val="Arial"/>
        <family val="2"/>
      </rPr>
      <t xml:space="preserve"> (sau promit virare a salariului/ pensiei in cont BCR), fiind oferit o singura data pentru un client;
•  Premiul este virat automat clientilor eligibili in termen de maxim 5 zile lucratoare dupa punerea la dispozitie a creditului;
</t>
    </r>
  </si>
  <si>
    <r>
      <t xml:space="preserve">5.90% </t>
    </r>
    <r>
      <rPr>
        <sz val="11"/>
        <color theme="1"/>
        <rFont val="Calibri"/>
        <family val="2"/>
      </rPr>
      <t>rata dobanda fixa; IRCC+3.20%</t>
    </r>
  </si>
  <si>
    <t>Oferta VIRARE VENIT</t>
  </si>
  <si>
    <r>
      <t xml:space="preserve">5.40% </t>
    </r>
    <r>
      <rPr>
        <sz val="11"/>
        <color theme="1"/>
        <rFont val="Calibri"/>
        <family val="2"/>
      </rPr>
      <t>rata dobanda fixa; IRCC+2.70%</t>
    </r>
  </si>
  <si>
    <t>FIXA 3 ANI VERDE</t>
  </si>
  <si>
    <r>
      <t xml:space="preserve">5.70% </t>
    </r>
    <r>
      <rPr>
        <sz val="11"/>
        <color theme="1"/>
        <rFont val="Calibri"/>
        <family val="2"/>
      </rPr>
      <t>rata dobanda fixa; IRCC+3.00%</t>
    </r>
  </si>
  <si>
    <t>Oferta VIRARE SI ASIG VIATA</t>
  </si>
  <si>
    <r>
      <t xml:space="preserve">5.09% </t>
    </r>
    <r>
      <rPr>
        <sz val="11"/>
        <color theme="1"/>
        <rFont val="Calibri"/>
        <family val="2"/>
      </rPr>
      <t>rata dobanda fixa; IRCC+2.39%</t>
    </r>
  </si>
  <si>
    <r>
      <t xml:space="preserve">4.89% </t>
    </r>
    <r>
      <rPr>
        <sz val="11"/>
        <color theme="1"/>
        <rFont val="Calibri"/>
        <family val="2"/>
      </rPr>
      <t>rata dobanda fixa; IRCC+2.19%</t>
    </r>
  </si>
  <si>
    <t>Credit&lt;=650.000 RON</t>
  </si>
  <si>
    <t>* Imobil VERDE = Clasa energetica A sau B (emis incepand cu data de 16.02.2023)</t>
  </si>
  <si>
    <r>
      <t xml:space="preserve">INTESA SAN PAOLO
</t>
    </r>
    <r>
      <rPr>
        <sz val="11"/>
        <color theme="1"/>
        <rFont val="Calibri"/>
        <family val="2"/>
        <scheme val="minor"/>
      </rPr>
      <t>max 2.000.000 RON
analiza dosar 600 RON</t>
    </r>
  </si>
  <si>
    <r>
      <t xml:space="preserve">BCR
</t>
    </r>
    <r>
      <rPr>
        <sz val="11"/>
        <color theme="1"/>
        <rFont val="Calibri"/>
        <family val="2"/>
        <scheme val="minor"/>
      </rPr>
      <t xml:space="preserve">analiza dosar 500 RON si admin ZERO
</t>
    </r>
    <r>
      <rPr>
        <b/>
        <i/>
        <sz val="11"/>
        <color theme="8"/>
        <rFont val="Calibri"/>
        <family val="2"/>
        <scheme val="minor"/>
      </rPr>
      <t xml:space="preserve">Campanie PREMIU REFINANTARE 2000 RON ** pana pe 20.02.2026 </t>
    </r>
  </si>
  <si>
    <t>Credit intre 650.000 si 1.750.000 RON</t>
  </si>
  <si>
    <r>
      <t xml:space="preserve">BT
</t>
    </r>
    <r>
      <rPr>
        <b/>
        <sz val="11"/>
        <color theme="1"/>
        <rFont val="Calibri"/>
        <family val="2"/>
        <scheme val="minor"/>
      </rPr>
      <t xml:space="preserve">- analiza 500 lei
- evaluare standard
- admin anuala 150 lei
</t>
    </r>
    <r>
      <rPr>
        <b/>
        <i/>
        <sz val="11"/>
        <color theme="8"/>
        <rFont val="Calibri"/>
        <family val="2"/>
        <scheme val="minor"/>
      </rPr>
      <t xml:space="preserve">Campanie VOUCHER 2.000 RON la refinantare </t>
    </r>
  </si>
  <si>
    <r>
      <t xml:space="preserve">GARANTI 
</t>
    </r>
    <r>
      <rPr>
        <sz val="11"/>
        <color theme="1"/>
        <rFont val="Calibri"/>
        <family val="2"/>
        <scheme val="minor"/>
      </rPr>
      <t xml:space="preserve">analiza dosar 750 lei/ 130 euro (HL) si 1.000 lei/ 220 euro (GPL+)
</t>
    </r>
    <r>
      <rPr>
        <b/>
        <i/>
        <sz val="11"/>
        <color theme="8"/>
        <rFont val="Calibri"/>
        <family val="2"/>
        <scheme val="minor"/>
      </rPr>
      <t>Campanie costuri ZERO pentru evaluarea imobilului si pentru contractul de ipoteca pana la 31.03.2026</t>
    </r>
  </si>
  <si>
    <t>FIXA 2 ANI*</t>
  </si>
  <si>
    <r>
      <rPr>
        <b/>
        <sz val="11"/>
        <color theme="1"/>
        <rFont val="Calibri"/>
        <family val="2"/>
        <scheme val="minor"/>
      </rPr>
      <t>4.69%</t>
    </r>
    <r>
      <rPr>
        <sz val="11"/>
        <color theme="1"/>
        <rFont val="Calibri"/>
        <family val="2"/>
        <scheme val="minor"/>
      </rPr>
      <t xml:space="preserve"> rata dobanda fixa; IRCC+2.25%</t>
    </r>
  </si>
  <si>
    <r>
      <rPr>
        <b/>
        <sz val="11"/>
        <color theme="1"/>
        <rFont val="Calibri"/>
        <family val="2"/>
        <scheme val="minor"/>
      </rPr>
      <t>5.69%</t>
    </r>
    <r>
      <rPr>
        <sz val="11"/>
        <color theme="1"/>
        <rFont val="Calibri"/>
        <family val="2"/>
        <scheme val="minor"/>
      </rPr>
      <t xml:space="preserve"> rata dobanda fixa; IRCC+2.30%</t>
    </r>
  </si>
  <si>
    <t xml:space="preserve">**** Client Premium - </t>
  </si>
  <si>
    <r>
      <rPr>
        <b/>
        <sz val="11"/>
        <color theme="1"/>
        <rFont val="Calibri"/>
        <family val="2"/>
        <scheme val="minor"/>
      </rPr>
      <t>4.59%</t>
    </r>
    <r>
      <rPr>
        <sz val="11"/>
        <color theme="1"/>
        <rFont val="Calibri"/>
        <family val="2"/>
        <scheme val="minor"/>
      </rPr>
      <t xml:space="preserve"> rata dobanda fixa; IRCC+2.20% 
(</t>
    </r>
    <r>
      <rPr>
        <b/>
        <sz val="11"/>
        <color theme="1"/>
        <rFont val="Calibri"/>
        <family val="2"/>
        <scheme val="minor"/>
      </rPr>
      <t>client Premium</t>
    </r>
    <r>
      <rPr>
        <sz val="11"/>
        <color theme="1"/>
        <rFont val="Calibri"/>
        <family val="2"/>
        <scheme val="minor"/>
      </rPr>
      <t xml:space="preserve">)
</t>
    </r>
    <r>
      <rPr>
        <b/>
        <sz val="11"/>
        <color theme="1"/>
        <rFont val="Calibri"/>
        <family val="2"/>
        <scheme val="minor"/>
      </rPr>
      <t>4.69%</t>
    </r>
    <r>
      <rPr>
        <sz val="11"/>
        <color theme="1"/>
        <rFont val="Calibri"/>
        <family val="2"/>
        <scheme val="minor"/>
      </rPr>
      <t xml:space="preserve"> rata dobanda fixa; IRCC+2.25% 
</t>
    </r>
    <r>
      <rPr>
        <b/>
        <sz val="11"/>
        <color theme="1"/>
        <rFont val="Calibri"/>
        <family val="2"/>
        <scheme val="minor"/>
      </rPr>
      <t>(client Standard)</t>
    </r>
  </si>
  <si>
    <t>IRCC + 2.10%</t>
  </si>
  <si>
    <t>IRCC + 2.33%</t>
  </si>
  <si>
    <t>IRCC + 2.78%</t>
  </si>
  <si>
    <r>
      <rPr>
        <b/>
        <sz val="11"/>
        <color theme="1"/>
        <rFont val="Calibri"/>
        <family val="2"/>
        <scheme val="minor"/>
      </rPr>
      <t>4.99%</t>
    </r>
    <r>
      <rPr>
        <sz val="11"/>
        <color theme="1"/>
        <rFont val="Calibri"/>
        <family val="2"/>
        <scheme val="minor"/>
      </rPr>
      <t xml:space="preserve"> rata dobanda fixa; IRCC+2.10%</t>
    </r>
  </si>
  <si>
    <r>
      <rPr>
        <b/>
        <sz val="11"/>
        <color theme="1"/>
        <rFont val="Calibri"/>
        <family val="2"/>
        <scheme val="minor"/>
      </rPr>
      <t>5.19%</t>
    </r>
    <r>
      <rPr>
        <sz val="11"/>
        <color theme="1"/>
        <rFont val="Calibri"/>
        <family val="2"/>
        <scheme val="minor"/>
      </rPr>
      <t xml:space="preserve"> rata dobanda fixa; IRCC+2.30%</t>
    </r>
  </si>
  <si>
    <r>
      <rPr>
        <b/>
        <sz val="11"/>
        <color theme="1"/>
        <rFont val="Calibri"/>
        <family val="2"/>
        <scheme val="minor"/>
      </rPr>
      <t>5.25%</t>
    </r>
    <r>
      <rPr>
        <sz val="11"/>
        <color theme="1"/>
        <rFont val="Calibri"/>
        <family val="2"/>
        <scheme val="minor"/>
      </rPr>
      <t xml:space="preserve"> rata dobanda fixa; IRCC+2.33%</t>
    </r>
  </si>
  <si>
    <r>
      <rPr>
        <b/>
        <sz val="11"/>
        <color theme="1"/>
        <rFont val="Calibri"/>
        <family val="2"/>
        <scheme val="minor"/>
      </rPr>
      <t>5.46%</t>
    </r>
    <r>
      <rPr>
        <sz val="11"/>
        <color theme="1"/>
        <rFont val="Calibri"/>
        <family val="2"/>
        <scheme val="minor"/>
      </rPr>
      <t xml:space="preserve"> rata dobanda fixa; IRCC+2.56%</t>
    </r>
  </si>
  <si>
    <r>
      <rPr>
        <b/>
        <sz val="11"/>
        <color theme="1"/>
        <rFont val="Calibri"/>
        <family val="2"/>
        <scheme val="minor"/>
      </rPr>
      <t>2.60%</t>
    </r>
    <r>
      <rPr>
        <sz val="11"/>
        <color theme="1"/>
        <rFont val="Calibri"/>
        <family val="2"/>
        <scheme val="minor"/>
      </rPr>
      <t xml:space="preserve"> + Euribor 6M</t>
    </r>
  </si>
  <si>
    <r>
      <rPr>
        <b/>
        <sz val="11"/>
        <color theme="1"/>
        <rFont val="Calibri"/>
        <family val="2"/>
        <scheme val="minor"/>
      </rPr>
      <t>2.80%</t>
    </r>
    <r>
      <rPr>
        <sz val="11"/>
        <color theme="1"/>
        <rFont val="Calibri"/>
        <family val="2"/>
        <scheme val="minor"/>
      </rPr>
      <t xml:space="preserve"> + Euribor 6M</t>
    </r>
  </si>
  <si>
    <t>Refinantare</t>
  </si>
  <si>
    <t>IRCC + 2.00%</t>
  </si>
  <si>
    <t>IRCC + 2.40%</t>
  </si>
  <si>
    <r>
      <rPr>
        <b/>
        <sz val="11"/>
        <color theme="1"/>
        <rFont val="Calibri"/>
        <family val="2"/>
        <scheme val="minor"/>
      </rPr>
      <t>4.89%</t>
    </r>
    <r>
      <rPr>
        <sz val="11"/>
        <color theme="1"/>
        <rFont val="Calibri"/>
        <family val="2"/>
        <scheme val="minor"/>
      </rPr>
      <t xml:space="preserve"> rata dobanda fixa; IRCC+2.00%</t>
    </r>
  </si>
  <si>
    <r>
      <rPr>
        <b/>
        <sz val="11"/>
        <color theme="1"/>
        <rFont val="Calibri"/>
        <family val="2"/>
        <scheme val="minor"/>
      </rPr>
      <t>5.09%</t>
    </r>
    <r>
      <rPr>
        <sz val="11"/>
        <color theme="1"/>
        <rFont val="Calibri"/>
        <family val="2"/>
        <scheme val="minor"/>
      </rPr>
      <t xml:space="preserve"> rata dobanda fixa; IRCC+2.20%</t>
    </r>
  </si>
  <si>
    <t>Dobanda variabila FARA asigurare (Marja)</t>
  </si>
  <si>
    <t>Dobanda variabila CU asigurare (Marja)</t>
  </si>
  <si>
    <t>2.55%</t>
  </si>
  <si>
    <t>2.4%</t>
  </si>
  <si>
    <t>4.20%</t>
  </si>
  <si>
    <t>3.30%</t>
  </si>
  <si>
    <t>2.70%</t>
  </si>
  <si>
    <t>4.35%</t>
  </si>
  <si>
    <t>3.90%</t>
  </si>
  <si>
    <t>* Oferta valabila pentru aplicatiile introduse pana cel tarziu 30.04.2026</t>
  </si>
  <si>
    <r>
      <t xml:space="preserve">4.99% </t>
    </r>
    <r>
      <rPr>
        <sz val="11"/>
        <color theme="1"/>
        <rFont val="Calibri"/>
        <family val="2"/>
      </rPr>
      <t>rata dobanda fixa; IRCC+2.29%</t>
    </r>
  </si>
  <si>
    <r>
      <t xml:space="preserve">6.50% </t>
    </r>
    <r>
      <rPr>
        <sz val="11"/>
        <color theme="1"/>
        <rFont val="Calibri"/>
        <family val="2"/>
      </rPr>
      <t>rata dobanda fixa; IRCC+3.80%</t>
    </r>
  </si>
  <si>
    <r>
      <rPr>
        <b/>
        <i/>
        <sz val="11"/>
        <color theme="1"/>
        <rFont val="Calibri"/>
        <family val="2"/>
      </rPr>
      <t>** Conditii Campanie premiu refinantare, max 2.500 RON:</t>
    </r>
    <r>
      <rPr>
        <sz val="11"/>
        <color theme="1"/>
        <rFont val="Calibri"/>
        <family val="2"/>
      </rPr>
      <t xml:space="preserve">
1. aplica la credit pana pe 30.04.2026
2. semneaza ctr de credit si utilizeaza creditul pana la 30.06.2026
3. incheie asigurarea facultativa pt imobil cu EximAsig </t>
    </r>
  </si>
  <si>
    <r>
      <rPr>
        <b/>
        <i/>
        <sz val="11"/>
        <color theme="1"/>
        <rFont val="Calibri"/>
        <family val="2"/>
      </rPr>
      <t xml:space="preserve">Cheltuieli eligibile decontare premiu in baza facturi/ bonuri fiscale/ extrase prezentate de client: </t>
    </r>
    <r>
      <rPr>
        <sz val="11"/>
        <color theme="1"/>
        <rFont val="Calibri"/>
        <family val="2"/>
      </rPr>
      <t xml:space="preserve">
- taxe notariale autentificare ipoteca
- taxe eliberare extrase CF si intabulare ipoteca
- taxa evaluare imobi</t>
    </r>
  </si>
  <si>
    <r>
      <t xml:space="preserve">EXIM BANCA ROMANEASCA
</t>
    </r>
    <r>
      <rPr>
        <sz val="11"/>
        <color theme="1"/>
        <rFont val="Calibri"/>
        <family val="2"/>
        <scheme val="minor"/>
      </rPr>
      <t>max 2.000.000 RON
analiza dosar 500 RON/</t>
    </r>
    <r>
      <rPr>
        <b/>
        <sz val="11"/>
        <color theme="1"/>
        <rFont val="Calibri"/>
        <family val="2"/>
        <scheme val="minor"/>
      </rPr>
      <t xml:space="preserve"> </t>
    </r>
    <r>
      <rPr>
        <b/>
        <i/>
        <sz val="11"/>
        <color theme="1"/>
        <rFont val="Calibri"/>
        <family val="2"/>
        <scheme val="minor"/>
      </rPr>
      <t>0 pt REFINANTARE EXTERNA</t>
    </r>
    <r>
      <rPr>
        <b/>
        <sz val="11"/>
        <color theme="1"/>
        <rFont val="Calibri"/>
        <family val="2"/>
        <scheme val="minor"/>
      </rPr>
      <t xml:space="preserve">
</t>
    </r>
    <r>
      <rPr>
        <b/>
        <i/>
        <sz val="10"/>
        <color theme="4" tint="-0.249977111117893"/>
        <rFont val="Calibri"/>
        <family val="2"/>
        <scheme val="minor"/>
      </rPr>
      <t>Campanie premiu max 2.500 RON (pt notar si evaluare) la refinantare externa pana la 30.04.2026</t>
    </r>
    <r>
      <rPr>
        <b/>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</si>
</sst>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0.0000%"/>
  </numFmts>
  <fonts count="87"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
      <scheme val="minor"/>
    </font>
    <font>
      <b/>
      <sz val="11"/>
      <color rgb="FFFFFFFF"/>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
      <b/>
      <sz val="14"/>
      <color theme="1"/>
      <name val="Calibri"/>
      <family val="2"/>
      <scheme val="minor"/>
    </font>
    <font>
      <sz val="11"/>
      <color theme="1"/>
      <name val="Calibri"/>
      <family val="2"/>
    </font>
    <font>
      <b/>
      <sz val="11"/>
      <color theme="1"/>
      <name val="Calibri"/>
      <family val="2"/>
    </font>
    <font>
      <b/>
      <sz val="11"/>
      <name val="Calibri"/>
      <family val="2"/>
      <scheme val="minor"/>
    </font>
    <font>
      <b/>
      <sz val="10"/>
      <color rgb="FFFFFFFF"/>
      <name val="Arial"/>
      <family val="2"/>
    </font>
    <font>
      <sz val="10"/>
      <color theme="1"/>
      <name val="Arial"/>
      <family val="2"/>
    </font>
    <font>
      <b/>
      <sz val="10"/>
      <color rgb="FF00B050"/>
      <name val="Arial"/>
      <family val="2"/>
    </font>
    <font>
      <b/>
      <sz val="11"/>
      <color rgb="FF00B050"/>
      <name val="Arial"/>
      <family val="2"/>
    </font>
    <font>
      <sz val="10"/>
      <color rgb="FF1F497D"/>
      <name val="Arial"/>
      <family val="2"/>
    </font>
    <font>
      <b/>
      <sz val="9"/>
      <name val="Calibri"/>
      <family val="2"/>
      <scheme val="minor"/>
    </font>
    <font>
      <i/>
      <sz val="11"/>
      <color theme="1"/>
      <name val="Calibri"/>
      <family val="2"/>
    </font>
    <font>
      <b/>
      <i/>
      <sz val="11"/>
      <color theme="1"/>
      <name val="Calibri"/>
      <family val="2"/>
    </font>
    <font>
      <sz val="11"/>
      <color rgb="FF1F497D"/>
      <name val="Calibri"/>
      <family val="2"/>
      <scheme val="minor"/>
    </font>
    <font>
      <b/>
      <sz val="11"/>
      <color rgb="FF1F497D"/>
      <name val="Calibri"/>
      <family val="2"/>
      <scheme val="minor"/>
    </font>
    <font>
      <sz val="11"/>
      <color rgb="FF002060"/>
      <name val="Calibri"/>
      <family val="2"/>
      <scheme val="minor"/>
    </font>
    <font>
      <b/>
      <sz val="11"/>
      <color rgb="FF002060"/>
      <name val="Calibri"/>
      <family val="2"/>
      <scheme val="minor"/>
    </font>
    <font>
      <b/>
      <sz val="12"/>
      <color rgb="FF000000"/>
      <name val="Times New Roman"/>
      <family val="1"/>
    </font>
    <font>
      <sz val="12"/>
      <color rgb="FF000000"/>
      <name val="Times New Roman"/>
      <family val="1"/>
    </font>
    <font>
      <b/>
      <i/>
      <sz val="11"/>
      <color theme="1"/>
      <name val="Calibri"/>
      <family val="2"/>
      <scheme val="minor"/>
    </font>
    <font>
      <i/>
      <sz val="11"/>
      <color theme="1"/>
      <name val="Calibri"/>
      <family val="2"/>
      <scheme val="minor"/>
    </font>
    <font>
      <b/>
      <i/>
      <sz val="12"/>
      <color rgb="FF000000"/>
      <name val="Times New Roman"/>
      <family val="1"/>
    </font>
    <font>
      <b/>
      <i/>
      <sz val="11"/>
      <color theme="8"/>
      <name val="Calibri"/>
      <family val="2"/>
      <scheme val="minor"/>
    </font>
    <font>
      <b/>
      <i/>
      <sz val="11"/>
      <name val="Calibri"/>
      <family val="2"/>
      <scheme val="minor"/>
    </font>
    <font>
      <b/>
      <sz val="11"/>
      <color rgb="FF33CC33"/>
      <name val="Calibri"/>
      <family val="2"/>
      <scheme val="minor"/>
    </font>
    <font>
      <sz val="9"/>
      <color theme="1"/>
      <name val="Calibri"/>
      <family val="2"/>
      <scheme val="minor"/>
    </font>
    <font>
      <b/>
      <sz val="9"/>
      <color rgb="FF0070C0"/>
      <name val="Calibri"/>
      <family val="2"/>
      <scheme val="minor"/>
    </font>
    <font>
      <sz val="9"/>
      <name val="Calibri"/>
      <family val="2"/>
      <scheme val="minor"/>
    </font>
    <font>
      <sz val="8"/>
      <color theme="1"/>
      <name val="Calibri"/>
      <family val="2"/>
      <scheme val="minor"/>
    </font>
    <font>
      <i/>
      <u/>
      <sz val="11"/>
      <color theme="1"/>
      <name val="Calibri"/>
      <family val="2"/>
      <scheme val="minor"/>
    </font>
    <font>
      <b/>
      <i/>
      <u/>
      <sz val="11"/>
      <color theme="1"/>
      <name val="Calibri"/>
      <family val="2"/>
      <scheme val="minor"/>
    </font>
    <font>
      <i/>
      <sz val="11"/>
      <color rgb="FF000000"/>
      <name val="Calibri"/>
      <family val="2"/>
      <scheme val="minor"/>
    </font>
    <font>
      <sz val="11"/>
      <color rgb="FF000000"/>
      <name val="Calibri"/>
      <family val="2"/>
      <scheme val="minor"/>
    </font>
    <font>
      <b/>
      <sz val="11"/>
      <color rgb="FF000000"/>
      <name val="Calibri"/>
      <family val="2"/>
      <scheme val="minor"/>
    </font>
    <font>
      <b/>
      <i/>
      <sz val="11"/>
      <color rgb="FF000000"/>
      <name val="Calibri"/>
      <family val="2"/>
      <scheme val="minor"/>
    </font>
    <font>
      <b/>
      <i/>
      <sz val="11"/>
      <color rgb="FF00B050"/>
      <name val="Calibri"/>
      <family val="2"/>
    </font>
    <font>
      <sz val="10"/>
      <name val="Arial"/>
      <family val="2"/>
    </font>
    <font>
      <sz val="10"/>
      <name val="Arial"/>
      <family val="2"/>
      <charset val="238"/>
    </font>
    <font>
      <sz val="10"/>
      <name val="Arial"/>
      <family val="2"/>
    </font>
    <font>
      <sz val="10"/>
      <color rgb="FF000000"/>
      <name val="Arial"/>
      <family val="2"/>
    </font>
    <font>
      <sz val="10"/>
      <name val="Calibri"/>
      <family val="2"/>
      <scheme val="minor"/>
    </font>
    <font>
      <b/>
      <sz val="10"/>
      <color theme="1"/>
      <name val="Calibri"/>
      <family val="2"/>
      <scheme val="minor"/>
    </font>
    <font>
      <i/>
      <sz val="11"/>
      <color rgb="FFFF0000"/>
      <name val="Calibri"/>
      <family val="2"/>
      <scheme val="minor"/>
    </font>
    <font>
      <b/>
      <i/>
      <sz val="11"/>
      <color rgb="FFFF0000"/>
      <name val="Calibri"/>
      <family val="2"/>
      <scheme val="minor"/>
    </font>
    <font>
      <b/>
      <sz val="10"/>
      <name val="Calibri"/>
      <family val="2"/>
      <scheme val="minor"/>
    </font>
    <font>
      <i/>
      <sz val="11"/>
      <color rgb="FF1F497D"/>
      <name val="Calibri"/>
      <family val="2"/>
      <scheme val="minor"/>
    </font>
    <font>
      <b/>
      <i/>
      <sz val="12"/>
      <color theme="1"/>
      <name val="Calibri"/>
      <family val="2"/>
      <scheme val="minor"/>
    </font>
    <font>
      <b/>
      <i/>
      <sz val="12"/>
      <name val="Calibri"/>
      <family val="2"/>
      <scheme val="minor"/>
    </font>
    <font>
      <b/>
      <sz val="10"/>
      <color theme="1"/>
      <name val="Arial"/>
      <family val="2"/>
    </font>
    <font>
      <b/>
      <i/>
      <sz val="10"/>
      <color theme="4" tint="-0.249977111117893"/>
      <name val="Calibri"/>
      <family val="2"/>
      <scheme val="minor"/>
    </font>
  </fonts>
  <fills count="26">
    <fill>
      <patternFill patternType="none"/>
    </fill>
    <fill>
      <patternFill patternType="gray125"/>
    </fill>
    <fill>
      <patternFill patternType="solid">
        <fgColor rgb="FF0070C0"/>
        <bgColor indexed="64"/>
      </patternFill>
    </fill>
    <fill>
      <patternFill patternType="solid">
        <fgColor rgb="FFFFFFFF"/>
        <bgColor indexed="64"/>
      </patternFill>
    </fill>
    <fill>
      <patternFill patternType="solid">
        <fgColor rgb="FF00B0F0"/>
        <bgColor indexed="64"/>
      </patternFill>
    </fill>
    <fill>
      <patternFill patternType="solid">
        <fgColor rgb="FF92D050"/>
        <bgColor indexed="64"/>
      </patternFill>
    </fill>
    <fill>
      <patternFill patternType="solid">
        <fgColor theme="7" tint="-0.249977111117893"/>
        <bgColor indexed="64"/>
      </patternFill>
    </fill>
    <fill>
      <patternFill patternType="solid">
        <fgColor rgb="FF33CC33"/>
        <bgColor indexed="64"/>
      </patternFill>
    </fill>
    <fill>
      <patternFill patternType="solid">
        <fgColor theme="4" tint="0.39997558519241921"/>
        <bgColor indexed="64"/>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
      <patternFill patternType="solid">
        <fgColor rgb="FFFF00FF"/>
        <bgColor indexed="64"/>
      </patternFill>
    </fill>
    <fill>
      <patternFill patternType="solid">
        <fgColor theme="2"/>
        <bgColor indexed="64"/>
      </patternFill>
    </fill>
    <fill>
      <patternFill patternType="solid">
        <fgColor indexed="9"/>
        <bgColor indexed="64"/>
      </patternFill>
    </fill>
    <fill>
      <patternFill patternType="solid">
        <fgColor theme="0"/>
        <bgColor indexed="64"/>
      </patternFill>
    </fill>
    <fill>
      <patternFill patternType="solid">
        <fgColor rgb="FFFFF2CC"/>
        <bgColor indexed="64"/>
      </patternFill>
    </fill>
    <fill>
      <patternFill patternType="solid">
        <fgColor rgb="FFE2EFD9"/>
        <bgColor indexed="64"/>
      </patternFill>
    </fill>
    <fill>
      <patternFill patternType="solid">
        <fgColor rgb="FFC5E0B3"/>
        <bgColor indexed="64"/>
      </patternFill>
    </fill>
    <fill>
      <patternFill patternType="solid">
        <fgColor rgb="FFFF0066"/>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6200"/>
        <bgColor indexed="64"/>
      </patternFill>
    </fill>
    <fill>
      <patternFill patternType="solid">
        <fgColor rgb="FFE1E1E1"/>
        <bgColor indexed="64"/>
      </patternFill>
    </fill>
    <fill>
      <patternFill patternType="solid">
        <fgColor theme="4"/>
        <bgColor indexed="64"/>
      </patternFill>
    </fill>
    <fill>
      <patternFill patternType="solid">
        <fgColor theme="5" tint="0.59999389629810485"/>
        <bgColor indexed="64"/>
      </patternFill>
    </fill>
  </fills>
  <borders count="53">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bottom style="medium">
        <color rgb="FF999999"/>
      </bottom>
      <diagonal/>
    </border>
    <border>
      <left style="medium">
        <color indexed="64"/>
      </left>
      <right/>
      <top/>
      <bottom style="medium">
        <color rgb="FF999999"/>
      </bottom>
      <diagonal/>
    </border>
    <border>
      <left style="medium">
        <color indexed="64"/>
      </left>
      <right style="medium">
        <color rgb="FF999999"/>
      </right>
      <top style="medium">
        <color indexed="64"/>
      </top>
      <bottom style="medium">
        <color indexed="64"/>
      </bottom>
      <diagonal/>
    </border>
    <border>
      <left/>
      <right style="medium">
        <color rgb="FF999999"/>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rgb="FF999999"/>
      </bottom>
      <diagonal/>
    </border>
    <border>
      <left/>
      <right style="medium">
        <color indexed="64"/>
      </right>
      <top style="medium">
        <color indexed="64"/>
      </top>
      <bottom style="medium">
        <color rgb="FF999999"/>
      </bottom>
      <diagonal/>
    </border>
    <border>
      <left style="medium">
        <color indexed="64"/>
      </left>
      <right/>
      <top style="medium">
        <color indexed="64"/>
      </top>
      <bottom style="medium">
        <color rgb="FF999999"/>
      </bottom>
      <diagonal/>
    </border>
    <border>
      <left/>
      <right style="medium">
        <color indexed="64"/>
      </right>
      <top/>
      <bottom/>
      <diagonal/>
    </border>
    <border>
      <left style="medium">
        <color indexed="64"/>
      </left>
      <right style="medium">
        <color rgb="FF999999"/>
      </right>
      <top style="medium">
        <color indexed="64"/>
      </top>
      <bottom/>
      <diagonal/>
    </border>
    <border>
      <left/>
      <right/>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
      <left/>
      <right style="medium">
        <color rgb="FF999999"/>
      </right>
      <top/>
      <bottom/>
      <diagonal/>
    </border>
    <border>
      <left style="medium">
        <color indexed="64"/>
      </left>
      <right style="medium">
        <color indexed="64"/>
      </right>
      <top style="medium">
        <color rgb="FF999999"/>
      </top>
      <bottom/>
      <diagonal/>
    </border>
    <border>
      <left style="medium">
        <color indexed="64"/>
      </left>
      <right style="thin">
        <color indexed="64"/>
      </right>
      <top style="medium">
        <color indexed="64"/>
      </top>
      <bottom/>
      <diagonal/>
    </border>
    <border>
      <left/>
      <right style="medium">
        <color indexed="64"/>
      </right>
      <top style="thin">
        <color indexed="64"/>
      </top>
      <bottom style="medium">
        <color indexed="64"/>
      </bottom>
      <diagonal/>
    </border>
  </borders>
  <cellStyleXfs count="23">
    <xf numFmtId="0" fontId="0" fillId="0" borderId="0"/>
    <xf numFmtId="9" fontId="33" fillId="0" borderId="0" applyFont="0" applyFill="0" applyBorder="0" applyAlignment="0" applyProtection="0"/>
    <xf numFmtId="0" fontId="73" fillId="0" borderId="0"/>
    <xf numFmtId="0" fontId="74" fillId="0" borderId="0"/>
    <xf numFmtId="0" fontId="74" fillId="0" borderId="0"/>
    <xf numFmtId="0" fontId="74" fillId="0" borderId="0"/>
    <xf numFmtId="9" fontId="74" fillId="0" borderId="0" applyFont="0" applyFill="0" applyBorder="0" applyAlignment="0" applyProtection="0"/>
    <xf numFmtId="9" fontId="74" fillId="0" borderId="0" applyFont="0" applyFill="0" applyBorder="0" applyAlignment="0" applyProtection="0"/>
    <xf numFmtId="9" fontId="75" fillId="0" borderId="0" applyFont="0" applyFill="0" applyBorder="0" applyAlignment="0" applyProtection="0"/>
    <xf numFmtId="0" fontId="76"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62" fillId="0" borderId="0"/>
    <xf numFmtId="43" fontId="62" fillId="0" borderId="0" applyFont="0" applyFill="0" applyBorder="0" applyAlignment="0" applyProtection="0"/>
    <xf numFmtId="0" fontId="75" fillId="0" borderId="0"/>
    <xf numFmtId="0" fontId="22" fillId="0" borderId="0"/>
    <xf numFmtId="43" fontId="22" fillId="0" borderId="0" applyFont="0" applyFill="0" applyBorder="0" applyAlignment="0" applyProtection="0"/>
    <xf numFmtId="9" fontId="22" fillId="0" borderId="0" applyFont="0" applyFill="0" applyBorder="0" applyAlignment="0" applyProtection="0"/>
    <xf numFmtId="0" fontId="76" fillId="0" borderId="0"/>
    <xf numFmtId="0" fontId="22" fillId="0" borderId="0"/>
    <xf numFmtId="43" fontId="22" fillId="0" borderId="0" applyFont="0" applyFill="0" applyBorder="0" applyAlignment="0" applyProtection="0"/>
    <xf numFmtId="9" fontId="22" fillId="0" borderId="0" applyFont="0" applyFill="0" applyBorder="0" applyAlignment="0" applyProtection="0"/>
  </cellStyleXfs>
  <cellXfs count="408">
    <xf numFmtId="0" fontId="0" fillId="0" borderId="0" xfId="0"/>
    <xf numFmtId="0" fontId="0" fillId="0" borderId="5" xfId="0" applyBorder="1"/>
    <xf numFmtId="0" fontId="0" fillId="0" borderId="9" xfId="0" applyBorder="1"/>
    <xf numFmtId="0" fontId="38" fillId="6" borderId="1" xfId="0" applyFont="1" applyFill="1" applyBorder="1" applyAlignment="1">
      <alignment horizontal="center" vertical="center"/>
    </xf>
    <xf numFmtId="0" fontId="38" fillId="6" borderId="7" xfId="0" applyFont="1" applyFill="1" applyBorder="1" applyAlignment="1">
      <alignment horizontal="center" vertical="center"/>
    </xf>
    <xf numFmtId="0" fontId="37" fillId="0" borderId="1" xfId="0" applyFont="1" applyBorder="1"/>
    <xf numFmtId="0" fontId="37" fillId="0" borderId="2" xfId="0" applyFont="1" applyBorder="1"/>
    <xf numFmtId="0" fontId="0" fillId="0" borderId="0" xfId="0" applyAlignment="1">
      <alignment wrapText="1"/>
    </xf>
    <xf numFmtId="0" fontId="0" fillId="0" borderId="6" xfId="0" applyBorder="1"/>
    <xf numFmtId="164" fontId="0" fillId="0" borderId="4" xfId="1" applyNumberFormat="1" applyFont="1" applyBorder="1"/>
    <xf numFmtId="0" fontId="41" fillId="11" borderId="1" xfId="0" applyFont="1" applyFill="1" applyBorder="1"/>
    <xf numFmtId="0" fontId="37" fillId="7" borderId="1" xfId="0" applyFont="1" applyFill="1" applyBorder="1"/>
    <xf numFmtId="0" fontId="37" fillId="12" borderId="7" xfId="0" applyFont="1" applyFill="1" applyBorder="1"/>
    <xf numFmtId="0" fontId="37" fillId="12" borderId="14" xfId="0" applyFont="1" applyFill="1" applyBorder="1"/>
    <xf numFmtId="0" fontId="34" fillId="7" borderId="7" xfId="0" applyFont="1" applyFill="1" applyBorder="1" applyAlignment="1">
      <alignment horizontal="center" vertical="center" wrapText="1"/>
    </xf>
    <xf numFmtId="0" fontId="0" fillId="0" borderId="11" xfId="0" applyBorder="1"/>
    <xf numFmtId="0" fontId="35" fillId="3" borderId="18" xfId="0" applyFont="1" applyFill="1" applyBorder="1" applyAlignment="1">
      <alignment horizontal="center" vertical="center"/>
    </xf>
    <xf numFmtId="0" fontId="37" fillId="2" borderId="11" xfId="0" applyFont="1" applyFill="1" applyBorder="1" applyAlignment="1">
      <alignment horizontal="center" vertical="center"/>
    </xf>
    <xf numFmtId="0" fontId="0" fillId="2" borderId="1" xfId="0" applyFill="1" applyBorder="1"/>
    <xf numFmtId="0" fontId="37" fillId="2" borderId="1" xfId="0" applyFont="1" applyFill="1" applyBorder="1" applyAlignment="1">
      <alignment horizontal="center" vertical="center"/>
    </xf>
    <xf numFmtId="0" fontId="35" fillId="0" borderId="2" xfId="0" applyFont="1" applyBorder="1" applyAlignment="1">
      <alignment horizontal="center" vertical="center" wrapText="1"/>
    </xf>
    <xf numFmtId="0" fontId="0" fillId="0" borderId="1" xfId="0" applyBorder="1" applyAlignment="1">
      <alignment wrapText="1"/>
    </xf>
    <xf numFmtId="0" fontId="0" fillId="0" borderId="16" xfId="0" applyBorder="1" applyAlignment="1">
      <alignment wrapText="1"/>
    </xf>
    <xf numFmtId="0" fontId="45" fillId="0" borderId="1" xfId="0" applyFont="1" applyBorder="1" applyAlignment="1">
      <alignment vertical="center" wrapText="1"/>
    </xf>
    <xf numFmtId="0" fontId="40" fillId="9" borderId="1" xfId="0" applyFont="1" applyFill="1" applyBorder="1" applyAlignment="1">
      <alignment horizontal="center" vertical="center" wrapText="1"/>
    </xf>
    <xf numFmtId="0" fontId="40" fillId="9" borderId="12" xfId="0" applyFont="1" applyFill="1" applyBorder="1" applyAlignment="1">
      <alignment horizontal="center" vertical="center" wrapText="1"/>
    </xf>
    <xf numFmtId="164" fontId="0" fillId="0" borderId="0" xfId="1" applyNumberFormat="1" applyFont="1" applyBorder="1"/>
    <xf numFmtId="165" fontId="0" fillId="0" borderId="3" xfId="1" applyNumberFormat="1" applyFont="1" applyFill="1" applyBorder="1" applyAlignment="1">
      <alignment horizontal="center"/>
    </xf>
    <xf numFmtId="164" fontId="0" fillId="0" borderId="4" xfId="1" applyNumberFormat="1" applyFont="1" applyBorder="1" applyAlignment="1">
      <alignment horizontal="center"/>
    </xf>
    <xf numFmtId="0" fontId="37" fillId="0" borderId="1" xfId="0" applyFont="1" applyBorder="1" applyAlignment="1">
      <alignment horizontal="center"/>
    </xf>
    <xf numFmtId="0" fontId="37" fillId="0" borderId="2" xfId="0" applyFont="1" applyBorder="1" applyAlignment="1">
      <alignment horizontal="center"/>
    </xf>
    <xf numFmtId="0" fontId="37" fillId="0" borderId="3" xfId="0" applyFont="1" applyBorder="1" applyAlignment="1">
      <alignment horizontal="center" vertical="center"/>
    </xf>
    <xf numFmtId="0" fontId="37" fillId="0" borderId="0" xfId="0" applyFont="1" applyAlignment="1">
      <alignment horizontal="left"/>
    </xf>
    <xf numFmtId="0" fontId="37" fillId="0" borderId="0" xfId="0" applyFont="1"/>
    <xf numFmtId="0" fontId="37" fillId="0" borderId="1" xfId="0" applyFont="1" applyBorder="1" applyAlignment="1">
      <alignment vertical="center"/>
    </xf>
    <xf numFmtId="0" fontId="37" fillId="0" borderId="3" xfId="0" applyFont="1" applyBorder="1" applyAlignment="1">
      <alignment vertical="center"/>
    </xf>
    <xf numFmtId="0" fontId="35" fillId="0" borderId="1" xfId="0" applyFont="1" applyBorder="1" applyAlignment="1">
      <alignment horizontal="center" vertical="center" wrapText="1"/>
    </xf>
    <xf numFmtId="0" fontId="48" fillId="0" borderId="0" xfId="0" applyFont="1" applyAlignment="1">
      <alignment vertical="center"/>
    </xf>
    <xf numFmtId="0" fontId="37" fillId="15" borderId="0" xfId="0" applyFont="1" applyFill="1"/>
    <xf numFmtId="0" fontId="51" fillId="0" borderId="4" xfId="0" applyFont="1" applyBorder="1" applyAlignment="1">
      <alignment horizontal="center" vertical="center" wrapText="1"/>
    </xf>
    <xf numFmtId="164" fontId="0" fillId="0" borderId="0" xfId="1" applyNumberFormat="1" applyFont="1" applyFill="1" applyBorder="1"/>
    <xf numFmtId="10" fontId="0" fillId="0" borderId="0" xfId="1" applyNumberFormat="1" applyFont="1" applyBorder="1"/>
    <xf numFmtId="0" fontId="37" fillId="8" borderId="7" xfId="0" applyFont="1" applyFill="1" applyBorder="1" applyAlignment="1">
      <alignment horizontal="center" vertical="center"/>
    </xf>
    <xf numFmtId="10" fontId="39" fillId="0" borderId="2" xfId="0" applyNumberFormat="1" applyFont="1" applyBorder="1" applyAlignment="1">
      <alignment horizontal="center" vertical="center" wrapText="1"/>
    </xf>
    <xf numFmtId="0" fontId="37" fillId="8" borderId="11" xfId="0" applyFont="1" applyFill="1" applyBorder="1" applyAlignment="1">
      <alignment horizontal="center" vertical="center"/>
    </xf>
    <xf numFmtId="0" fontId="55" fillId="0" borderId="0" xfId="0" applyFont="1" applyAlignment="1">
      <alignment horizontal="center" vertical="center"/>
    </xf>
    <xf numFmtId="0" fontId="55" fillId="0" borderId="6" xfId="0" applyFont="1" applyBorder="1" applyAlignment="1">
      <alignment horizontal="center" vertical="center"/>
    </xf>
    <xf numFmtId="0" fontId="55" fillId="0" borderId="8" xfId="0" applyFont="1" applyBorder="1" applyAlignment="1">
      <alignment horizontal="center" vertical="center"/>
    </xf>
    <xf numFmtId="0" fontId="55" fillId="0" borderId="22" xfId="0" applyFont="1" applyBorder="1" applyAlignment="1">
      <alignment horizontal="center" vertical="center"/>
    </xf>
    <xf numFmtId="0" fontId="55" fillId="0" borderId="3" xfId="0" applyFont="1" applyBorder="1" applyAlignment="1">
      <alignment horizontal="center" vertical="center"/>
    </xf>
    <xf numFmtId="0" fontId="54" fillId="0" borderId="28" xfId="0" applyFont="1" applyBorder="1" applyAlignment="1">
      <alignment horizontal="center" vertical="center"/>
    </xf>
    <xf numFmtId="0" fontId="54" fillId="0" borderId="29" xfId="0" applyFont="1" applyBorder="1" applyAlignment="1">
      <alignment horizontal="center" vertical="center"/>
    </xf>
    <xf numFmtId="0" fontId="54" fillId="0" borderId="2" xfId="0" applyFont="1" applyBorder="1" applyAlignment="1">
      <alignment horizontal="center" vertical="center"/>
    </xf>
    <xf numFmtId="0" fontId="55" fillId="0" borderId="28" xfId="0" applyFont="1" applyBorder="1" applyAlignment="1">
      <alignment horizontal="center" vertical="center"/>
    </xf>
    <xf numFmtId="0" fontId="54" fillId="0" borderId="14" xfId="0" applyFont="1" applyBorder="1" applyAlignment="1">
      <alignment horizontal="center" vertical="center"/>
    </xf>
    <xf numFmtId="0" fontId="37" fillId="8" borderId="18" xfId="0" applyFont="1" applyFill="1" applyBorder="1" applyAlignment="1">
      <alignment horizontal="center" vertical="center"/>
    </xf>
    <xf numFmtId="0" fontId="37" fillId="8" borderId="19" xfId="0" applyFont="1" applyFill="1" applyBorder="1" applyAlignment="1">
      <alignment horizontal="center"/>
    </xf>
    <xf numFmtId="0" fontId="0" fillId="0" borderId="6" xfId="0" applyBorder="1" applyAlignment="1">
      <alignment wrapText="1"/>
    </xf>
    <xf numFmtId="165" fontId="0" fillId="0" borderId="3" xfId="1" applyNumberFormat="1" applyFont="1" applyFill="1" applyBorder="1"/>
    <xf numFmtId="0" fontId="54" fillId="0" borderId="27" xfId="0" applyFont="1" applyBorder="1" applyAlignment="1">
      <alignment horizontal="center" vertical="center"/>
    </xf>
    <xf numFmtId="0" fontId="55" fillId="18" borderId="31" xfId="0" applyFont="1" applyFill="1" applyBorder="1" applyAlignment="1">
      <alignment horizontal="center" vertical="center"/>
    </xf>
    <xf numFmtId="0" fontId="55" fillId="17" borderId="32" xfId="0" applyFont="1" applyFill="1" applyBorder="1" applyAlignment="1">
      <alignment horizontal="center" vertical="center"/>
    </xf>
    <xf numFmtId="0" fontId="37" fillId="8" borderId="7" xfId="0" applyFont="1" applyFill="1" applyBorder="1" applyAlignment="1">
      <alignment horizontal="center" vertical="center" wrapText="1"/>
    </xf>
    <xf numFmtId="0" fontId="58" fillId="0" borderId="33" xfId="0" applyFont="1" applyBorder="1" applyAlignment="1">
      <alignment horizontal="center" vertical="center" wrapText="1"/>
    </xf>
    <xf numFmtId="0" fontId="54" fillId="16" borderId="33" xfId="0" applyFont="1" applyFill="1" applyBorder="1" applyAlignment="1">
      <alignment horizontal="center" vertical="center"/>
    </xf>
    <xf numFmtId="0" fontId="58" fillId="0" borderId="26" xfId="0" applyFont="1" applyBorder="1" applyAlignment="1">
      <alignment horizontal="center" vertical="center" wrapText="1"/>
    </xf>
    <xf numFmtId="0" fontId="0" fillId="0" borderId="12" xfId="0" applyBorder="1"/>
    <xf numFmtId="0" fontId="0" fillId="0" borderId="4" xfId="0" applyBorder="1"/>
    <xf numFmtId="0" fontId="54" fillId="0" borderId="35" xfId="0" applyFont="1" applyBorder="1" applyAlignment="1">
      <alignment horizontal="center" vertical="center"/>
    </xf>
    <xf numFmtId="0" fontId="34" fillId="0" borderId="0" xfId="0" applyFont="1" applyAlignment="1">
      <alignment horizontal="center" vertical="center" wrapText="1"/>
    </xf>
    <xf numFmtId="0" fontId="54" fillId="0" borderId="1" xfId="0" applyFont="1" applyBorder="1" applyAlignment="1">
      <alignment horizontal="center" vertical="center"/>
    </xf>
    <xf numFmtId="165" fontId="0" fillId="0" borderId="0" xfId="1" applyNumberFormat="1" applyFont="1" applyFill="1" applyBorder="1" applyAlignment="1"/>
    <xf numFmtId="0" fontId="31" fillId="0" borderId="23" xfId="0" applyFont="1" applyBorder="1" applyAlignment="1">
      <alignment horizontal="center" vertical="center" wrapText="1"/>
    </xf>
    <xf numFmtId="0" fontId="32" fillId="0" borderId="0" xfId="0" applyFont="1" applyAlignment="1">
      <alignment horizontal="center" vertical="center" wrapText="1"/>
    </xf>
    <xf numFmtId="0" fontId="31" fillId="0" borderId="0" xfId="0" applyFont="1" applyAlignment="1">
      <alignment horizontal="center" vertical="center" wrapText="1"/>
    </xf>
    <xf numFmtId="0" fontId="31" fillId="0" borderId="30" xfId="0" applyFont="1" applyBorder="1" applyAlignment="1">
      <alignment horizontal="center" vertical="center" wrapText="1"/>
    </xf>
    <xf numFmtId="0" fontId="37" fillId="8" borderId="37" xfId="0" applyFont="1" applyFill="1" applyBorder="1" applyAlignment="1">
      <alignment horizontal="center" vertical="center"/>
    </xf>
    <xf numFmtId="0" fontId="29" fillId="0" borderId="23" xfId="0" applyFont="1" applyBorder="1" applyAlignment="1">
      <alignment horizontal="center" vertical="center" wrapText="1"/>
    </xf>
    <xf numFmtId="0" fontId="29" fillId="0" borderId="25" xfId="0" applyFont="1" applyBorder="1" applyAlignment="1">
      <alignment horizontal="center" vertical="center" wrapText="1"/>
    </xf>
    <xf numFmtId="0" fontId="31" fillId="0" borderId="3" xfId="0" applyFont="1" applyBorder="1" applyAlignment="1">
      <alignment horizontal="center" vertical="center" wrapText="1"/>
    </xf>
    <xf numFmtId="0" fontId="50" fillId="0" borderId="6" xfId="0" applyFont="1" applyBorder="1" applyAlignment="1">
      <alignment vertical="center" wrapText="1"/>
    </xf>
    <xf numFmtId="0" fontId="46" fillId="0" borderId="1" xfId="0" applyFont="1" applyBorder="1" applyAlignment="1">
      <alignment wrapText="1"/>
    </xf>
    <xf numFmtId="0" fontId="47" fillId="5" borderId="41" xfId="0" applyFont="1" applyFill="1" applyBorder="1" applyAlignment="1">
      <alignment wrapText="1"/>
    </xf>
    <xf numFmtId="0" fontId="62" fillId="0" borderId="0" xfId="0" applyFont="1"/>
    <xf numFmtId="0" fontId="47" fillId="13" borderId="24" xfId="0" applyFont="1" applyFill="1" applyBorder="1" applyAlignment="1">
      <alignment horizontal="center"/>
    </xf>
    <xf numFmtId="0" fontId="47" fillId="13" borderId="7" xfId="0" applyFont="1" applyFill="1" applyBorder="1" applyAlignment="1">
      <alignment horizontal="center" vertical="center" wrapText="1"/>
    </xf>
    <xf numFmtId="0" fontId="47" fillId="13" borderId="14" xfId="0" applyFont="1" applyFill="1" applyBorder="1" applyAlignment="1">
      <alignment horizontal="center" vertical="center" wrapText="1"/>
    </xf>
    <xf numFmtId="0" fontId="47" fillId="13" borderId="2" xfId="0" applyFont="1" applyFill="1" applyBorder="1" applyAlignment="1">
      <alignment horizontal="center" vertical="center" wrapText="1"/>
    </xf>
    <xf numFmtId="0" fontId="47" fillId="13" borderId="17" xfId="0" applyFont="1" applyFill="1" applyBorder="1" applyAlignment="1">
      <alignment horizontal="center"/>
    </xf>
    <xf numFmtId="0" fontId="47" fillId="13" borderId="18" xfId="0" applyFont="1" applyFill="1" applyBorder="1" applyAlignment="1">
      <alignment horizontal="center" vertical="center" wrapText="1"/>
    </xf>
    <xf numFmtId="10" fontId="64" fillId="5" borderId="42" xfId="0" applyNumberFormat="1" applyFont="1" applyFill="1" applyBorder="1" applyAlignment="1">
      <alignment horizontal="center" wrapText="1"/>
    </xf>
    <xf numFmtId="10" fontId="64" fillId="5" borderId="40" xfId="0" applyNumberFormat="1" applyFont="1" applyFill="1" applyBorder="1" applyAlignment="1">
      <alignment horizontal="center" wrapText="1"/>
    </xf>
    <xf numFmtId="0" fontId="54" fillId="16" borderId="3" xfId="0" applyFont="1" applyFill="1" applyBorder="1" applyAlignment="1">
      <alignment horizontal="center" vertical="center"/>
    </xf>
    <xf numFmtId="0" fontId="27" fillId="3" borderId="44" xfId="0" applyFont="1" applyFill="1" applyBorder="1" applyAlignment="1">
      <alignment horizontal="center" vertical="center"/>
    </xf>
    <xf numFmtId="0" fontId="27" fillId="3" borderId="3" xfId="0" applyFont="1" applyFill="1" applyBorder="1" applyAlignment="1">
      <alignment horizontal="center" vertical="center"/>
    </xf>
    <xf numFmtId="0" fontId="28" fillId="3" borderId="16" xfId="0" applyFont="1" applyFill="1" applyBorder="1" applyAlignment="1">
      <alignment horizontal="center" vertical="center"/>
    </xf>
    <xf numFmtId="0" fontId="27" fillId="0" borderId="30" xfId="0" applyFont="1" applyBorder="1" applyAlignment="1">
      <alignment horizontal="center" vertical="center" wrapText="1"/>
    </xf>
    <xf numFmtId="0" fontId="28" fillId="3" borderId="43" xfId="0" applyFont="1" applyFill="1" applyBorder="1" applyAlignment="1">
      <alignment horizontal="center" vertical="center"/>
    </xf>
    <xf numFmtId="0" fontId="37" fillId="2" borderId="6" xfId="0" applyFont="1" applyFill="1" applyBorder="1" applyAlignment="1">
      <alignment horizontal="center" vertical="center" wrapText="1"/>
    </xf>
    <xf numFmtId="0" fontId="37" fillId="2" borderId="3" xfId="0" applyFont="1" applyFill="1" applyBorder="1" applyAlignment="1">
      <alignment horizontal="center" vertical="center"/>
    </xf>
    <xf numFmtId="0" fontId="27" fillId="3" borderId="43" xfId="0" applyFont="1" applyFill="1" applyBorder="1" applyAlignment="1">
      <alignment horizontal="center" vertical="center"/>
    </xf>
    <xf numFmtId="0" fontId="27" fillId="0" borderId="0" xfId="0" applyFont="1" applyAlignment="1">
      <alignment horizontal="left" vertical="center"/>
    </xf>
    <xf numFmtId="0" fontId="31" fillId="0" borderId="45" xfId="0" applyFont="1" applyBorder="1" applyAlignment="1">
      <alignment horizontal="center" vertical="center" wrapText="1"/>
    </xf>
    <xf numFmtId="0" fontId="27" fillId="3" borderId="16" xfId="0" applyFont="1" applyFill="1" applyBorder="1" applyAlignment="1">
      <alignment horizontal="center" vertical="center"/>
    </xf>
    <xf numFmtId="0" fontId="27" fillId="3" borderId="42" xfId="0" applyFont="1" applyFill="1" applyBorder="1" applyAlignment="1">
      <alignment horizontal="center" vertical="center"/>
    </xf>
    <xf numFmtId="0" fontId="27" fillId="0" borderId="4" xfId="0" applyFont="1" applyBorder="1" applyAlignment="1">
      <alignment horizontal="center" vertical="center" wrapText="1"/>
    </xf>
    <xf numFmtId="0" fontId="37" fillId="10" borderId="1" xfId="0" applyFont="1" applyFill="1" applyBorder="1" applyAlignment="1">
      <alignment horizontal="center" vertical="center" wrapText="1"/>
    </xf>
    <xf numFmtId="0" fontId="37" fillId="0" borderId="17" xfId="0" applyFont="1" applyBorder="1" applyAlignment="1">
      <alignment horizontal="center" vertical="center" wrapText="1"/>
    </xf>
    <xf numFmtId="0" fontId="31" fillId="3" borderId="42" xfId="0" applyFont="1" applyFill="1" applyBorder="1" applyAlignment="1">
      <alignment horizontal="center" vertical="center"/>
    </xf>
    <xf numFmtId="0" fontId="31" fillId="3" borderId="43" xfId="0" applyFont="1" applyFill="1" applyBorder="1" applyAlignment="1">
      <alignment horizontal="center" vertical="center"/>
    </xf>
    <xf numFmtId="0" fontId="37" fillId="10" borderId="7" xfId="0" applyFont="1" applyFill="1" applyBorder="1" applyAlignment="1">
      <alignment horizontal="center" vertical="center" wrapText="1"/>
    </xf>
    <xf numFmtId="0" fontId="37" fillId="7" borderId="7" xfId="0" applyFont="1" applyFill="1" applyBorder="1" applyAlignment="1">
      <alignment vertical="center" wrapText="1"/>
    </xf>
    <xf numFmtId="0" fontId="37" fillId="7" borderId="1" xfId="0" applyFont="1" applyFill="1" applyBorder="1" applyAlignment="1">
      <alignment vertical="center" wrapText="1"/>
    </xf>
    <xf numFmtId="0" fontId="28" fillId="3" borderId="46" xfId="0" applyFont="1" applyFill="1" applyBorder="1" applyAlignment="1">
      <alignment horizontal="center" vertical="center"/>
    </xf>
    <xf numFmtId="0" fontId="27" fillId="3" borderId="47" xfId="0" applyFont="1" applyFill="1" applyBorder="1" applyAlignment="1">
      <alignment horizontal="center" vertical="center"/>
    </xf>
    <xf numFmtId="0" fontId="28" fillId="3" borderId="40" xfId="0" applyFont="1" applyFill="1" applyBorder="1" applyAlignment="1">
      <alignment horizontal="center" vertical="center"/>
    </xf>
    <xf numFmtId="0" fontId="27" fillId="3" borderId="40" xfId="0" applyFont="1" applyFill="1" applyBorder="1" applyAlignment="1">
      <alignment horizontal="center" vertical="center"/>
    </xf>
    <xf numFmtId="0" fontId="37" fillId="0" borderId="1" xfId="0" applyFont="1" applyBorder="1" applyAlignment="1">
      <alignment horizontal="center" vertical="center" wrapText="1"/>
    </xf>
    <xf numFmtId="0" fontId="37" fillId="0" borderId="16" xfId="0" applyFont="1" applyBorder="1" applyAlignment="1">
      <alignment horizontal="center" vertical="center"/>
    </xf>
    <xf numFmtId="0" fontId="37" fillId="8" borderId="8" xfId="0" applyFont="1" applyFill="1" applyBorder="1" applyAlignment="1">
      <alignment horizontal="center" vertical="center" wrapText="1"/>
    </xf>
    <xf numFmtId="0" fontId="26" fillId="0" borderId="1" xfId="0" applyFont="1" applyBorder="1" applyAlignment="1">
      <alignment horizontal="center" vertical="center" wrapText="1"/>
    </xf>
    <xf numFmtId="0" fontId="25" fillId="3" borderId="8" xfId="0" applyFont="1" applyFill="1" applyBorder="1" applyAlignment="1">
      <alignment horizontal="center" vertical="center"/>
    </xf>
    <xf numFmtId="164" fontId="0" fillId="0" borderId="3" xfId="1" applyNumberFormat="1" applyFont="1" applyFill="1" applyBorder="1" applyAlignment="1">
      <alignment horizontal="center"/>
    </xf>
    <xf numFmtId="0" fontId="0" fillId="0" borderId="2" xfId="0" applyBorder="1"/>
    <xf numFmtId="0" fontId="69" fillId="23" borderId="4" xfId="0" applyFont="1" applyFill="1" applyBorder="1" applyAlignment="1">
      <alignment horizontal="center" vertical="center" wrapText="1"/>
    </xf>
    <xf numFmtId="0" fontId="69" fillId="3" borderId="3" xfId="0" applyFont="1" applyFill="1" applyBorder="1" applyAlignment="1">
      <alignment horizontal="justify" vertical="center" wrapText="1"/>
    </xf>
    <xf numFmtId="0" fontId="70" fillId="3" borderId="4" xfId="0" applyFont="1" applyFill="1" applyBorder="1" applyAlignment="1">
      <alignment horizontal="center" vertical="center" wrapText="1"/>
    </xf>
    <xf numFmtId="0" fontId="69" fillId="3" borderId="4" xfId="0" applyFont="1" applyFill="1" applyBorder="1" applyAlignment="1">
      <alignment horizontal="center" vertical="center" wrapText="1"/>
    </xf>
    <xf numFmtId="0" fontId="69" fillId="3" borderId="34" xfId="0" applyFont="1" applyFill="1" applyBorder="1" applyAlignment="1">
      <alignment horizontal="left" vertical="center"/>
    </xf>
    <xf numFmtId="0" fontId="71" fillId="22" borderId="1" xfId="0" applyFont="1" applyFill="1" applyBorder="1" applyAlignment="1">
      <alignment horizontal="justify" vertical="center" wrapText="1"/>
    </xf>
    <xf numFmtId="0" fontId="43" fillId="0" borderId="0" xfId="0" applyFont="1" applyAlignment="1">
      <alignment horizontal="left" vertical="center"/>
    </xf>
    <xf numFmtId="0" fontId="37" fillId="0" borderId="7" xfId="0" applyFont="1" applyBorder="1" applyAlignment="1">
      <alignment horizontal="center" vertical="center"/>
    </xf>
    <xf numFmtId="0" fontId="37" fillId="0" borderId="2" xfId="0" applyFont="1" applyBorder="1" applyAlignment="1">
      <alignment horizontal="center" vertical="center"/>
    </xf>
    <xf numFmtId="0" fontId="37" fillId="0" borderId="7" xfId="0" applyFont="1" applyBorder="1" applyAlignment="1">
      <alignment horizontal="center" vertical="center" wrapText="1"/>
    </xf>
    <xf numFmtId="0" fontId="37" fillId="0" borderId="2" xfId="0" applyFont="1" applyBorder="1" applyAlignment="1">
      <alignment horizontal="center" vertical="center" wrapText="1"/>
    </xf>
    <xf numFmtId="0" fontId="24" fillId="0" borderId="0" xfId="0" applyFont="1" applyAlignment="1">
      <alignment horizontal="left" vertical="center"/>
    </xf>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77" fillId="0" borderId="0" xfId="2" applyFont="1"/>
    <xf numFmtId="0" fontId="40" fillId="0" borderId="1" xfId="0" applyFont="1" applyBorder="1" applyAlignment="1">
      <alignment horizontal="center" vertical="center" wrapText="1"/>
    </xf>
    <xf numFmtId="0" fontId="40" fillId="9" borderId="8" xfId="0" applyFont="1" applyFill="1" applyBorder="1" applyAlignment="1">
      <alignment horizontal="center" vertical="center" wrapText="1"/>
    </xf>
    <xf numFmtId="0" fontId="0" fillId="0" borderId="1" xfId="0" applyBorder="1"/>
    <xf numFmtId="0" fontId="78" fillId="7" borderId="8" xfId="0" applyFont="1" applyFill="1" applyBorder="1" applyAlignment="1">
      <alignment wrapText="1"/>
    </xf>
    <xf numFmtId="0" fontId="52" fillId="0" borderId="1" xfId="0" applyFont="1" applyBorder="1" applyAlignment="1">
      <alignment horizontal="center" vertical="center" wrapText="1"/>
    </xf>
    <xf numFmtId="0" fontId="52" fillId="0" borderId="2" xfId="0" applyFont="1" applyBorder="1" applyAlignment="1">
      <alignment horizontal="center" vertical="center" wrapText="1"/>
    </xf>
    <xf numFmtId="0" fontId="21" fillId="0" borderId="23" xfId="0" applyFont="1" applyBorder="1" applyAlignment="1">
      <alignment horizontal="center" vertical="center" wrapText="1"/>
    </xf>
    <xf numFmtId="165" fontId="0" fillId="0" borderId="1" xfId="1" applyNumberFormat="1" applyFont="1" applyFill="1" applyBorder="1" applyAlignment="1">
      <alignment horizontal="center"/>
    </xf>
    <xf numFmtId="0" fontId="51" fillId="0" borderId="6" xfId="0" applyFont="1" applyBorder="1" applyAlignment="1">
      <alignment vertical="center" wrapText="1"/>
    </xf>
    <xf numFmtId="164" fontId="0" fillId="0" borderId="1" xfId="0" applyNumberFormat="1" applyBorder="1"/>
    <xf numFmtId="0" fontId="37" fillId="12" borderId="1" xfId="0" applyFont="1" applyFill="1" applyBorder="1"/>
    <xf numFmtId="0" fontId="40" fillId="0" borderId="3" xfId="0" applyFont="1" applyBorder="1" applyAlignment="1">
      <alignment horizontal="center" vertical="center" wrapText="1"/>
    </xf>
    <xf numFmtId="0" fontId="18" fillId="0" borderId="1" xfId="0" applyFont="1" applyBorder="1" applyAlignment="1">
      <alignment horizontal="center" vertical="center" wrapText="1"/>
    </xf>
    <xf numFmtId="10" fontId="64" fillId="5" borderId="16" xfId="0" applyNumberFormat="1" applyFont="1" applyFill="1" applyBorder="1" applyAlignment="1">
      <alignment horizontal="center" wrapText="1"/>
    </xf>
    <xf numFmtId="164" fontId="0" fillId="0" borderId="2" xfId="1" applyNumberFormat="1" applyFont="1" applyBorder="1" applyAlignment="1">
      <alignment horizontal="center"/>
    </xf>
    <xf numFmtId="0" fontId="37" fillId="12" borderId="7" xfId="0" applyFont="1" applyFill="1" applyBorder="1" applyAlignment="1">
      <alignment wrapText="1"/>
    </xf>
    <xf numFmtId="0" fontId="43" fillId="0" borderId="6" xfId="0" applyFont="1" applyBorder="1"/>
    <xf numFmtId="10" fontId="64" fillId="0" borderId="0" xfId="0" applyNumberFormat="1" applyFont="1" applyAlignment="1">
      <alignment horizontal="center"/>
    </xf>
    <xf numFmtId="10" fontId="64" fillId="0" borderId="0" xfId="0" applyNumberFormat="1" applyFont="1" applyAlignment="1">
      <alignment horizontal="center" wrapText="1"/>
    </xf>
    <xf numFmtId="0" fontId="47" fillId="0" borderId="0" xfId="0" applyFont="1" applyAlignment="1">
      <alignment horizontal="center" vertical="center" wrapText="1"/>
    </xf>
    <xf numFmtId="0" fontId="63" fillId="0" borderId="0" xfId="0" applyFont="1" applyAlignment="1">
      <alignment horizontal="center" vertical="center" wrapText="1"/>
    </xf>
    <xf numFmtId="1" fontId="64" fillId="0" borderId="0" xfId="0" applyNumberFormat="1" applyFont="1" applyAlignment="1">
      <alignment horizontal="center"/>
    </xf>
    <xf numFmtId="10" fontId="64" fillId="0" borderId="23" xfId="0" applyNumberFormat="1" applyFont="1" applyBorder="1" applyAlignment="1">
      <alignment horizontal="center"/>
    </xf>
    <xf numFmtId="10" fontId="64" fillId="0" borderId="15" xfId="0" applyNumberFormat="1" applyFont="1" applyBorder="1" applyAlignment="1">
      <alignment horizontal="center"/>
    </xf>
    <xf numFmtId="10" fontId="64" fillId="5" borderId="16" xfId="0" applyNumberFormat="1" applyFont="1" applyFill="1" applyBorder="1" applyAlignment="1">
      <alignment horizontal="center"/>
    </xf>
    <xf numFmtId="0" fontId="54" fillId="0" borderId="7" xfId="0" applyFont="1" applyBorder="1" applyAlignment="1">
      <alignment horizontal="center" vertical="center"/>
    </xf>
    <xf numFmtId="0" fontId="39" fillId="0" borderId="7" xfId="0" applyFont="1" applyBorder="1" applyAlignment="1">
      <alignment horizontal="center" vertical="center" wrapText="1"/>
    </xf>
    <xf numFmtId="0" fontId="39" fillId="0" borderId="48" xfId="0" applyFont="1" applyBorder="1" applyAlignment="1">
      <alignment horizontal="center" vertical="center" wrapText="1"/>
    </xf>
    <xf numFmtId="0" fontId="54" fillId="0" borderId="7" xfId="0" applyFont="1" applyBorder="1" applyAlignment="1">
      <alignment vertical="center" wrapText="1"/>
    </xf>
    <xf numFmtId="0" fontId="55" fillId="0" borderId="27" xfId="0" applyFont="1" applyBorder="1" applyAlignment="1">
      <alignment horizontal="center" vertical="center"/>
    </xf>
    <xf numFmtId="0" fontId="54" fillId="0" borderId="9" xfId="0" applyFont="1" applyBorder="1" applyAlignment="1">
      <alignment horizontal="center" vertical="center"/>
    </xf>
    <xf numFmtId="0" fontId="21" fillId="0" borderId="0" xfId="0" applyFont="1" applyAlignment="1">
      <alignment horizontal="left" vertical="top" wrapText="1"/>
    </xf>
    <xf numFmtId="0" fontId="54" fillId="0" borderId="0" xfId="0" applyFont="1" applyAlignment="1">
      <alignment horizontal="center" vertical="center"/>
    </xf>
    <xf numFmtId="10" fontId="55" fillId="21" borderId="49" xfId="0" applyNumberFormat="1" applyFont="1" applyFill="1" applyBorder="1" applyAlignment="1">
      <alignment horizontal="center" vertical="center"/>
    </xf>
    <xf numFmtId="10" fontId="55" fillId="21" borderId="0" xfId="0" applyNumberFormat="1" applyFont="1" applyFill="1" applyAlignment="1">
      <alignment horizontal="center" vertical="center"/>
    </xf>
    <xf numFmtId="10" fontId="55" fillId="21" borderId="1" xfId="0" applyNumberFormat="1" applyFont="1" applyFill="1" applyBorder="1" applyAlignment="1">
      <alignment horizontal="center" vertical="center"/>
    </xf>
    <xf numFmtId="0" fontId="54" fillId="16" borderId="8" xfId="0" applyFont="1" applyFill="1" applyBorder="1" applyAlignment="1">
      <alignment horizontal="center" vertical="center"/>
    </xf>
    <xf numFmtId="0" fontId="54" fillId="16" borderId="1" xfId="0" applyFont="1" applyFill="1" applyBorder="1" applyAlignment="1">
      <alignment horizontal="center" vertical="center"/>
    </xf>
    <xf numFmtId="0" fontId="37" fillId="12" borderId="5" xfId="0" applyFont="1" applyFill="1" applyBorder="1"/>
    <xf numFmtId="0" fontId="15" fillId="0" borderId="3" xfId="0" applyFont="1" applyBorder="1" applyAlignment="1">
      <alignment horizontal="center" vertical="center" wrapText="1"/>
    </xf>
    <xf numFmtId="0" fontId="15" fillId="0" borderId="30" xfId="0" applyFont="1" applyBorder="1" applyAlignment="1">
      <alignment horizontal="center" vertical="center" wrapText="1"/>
    </xf>
    <xf numFmtId="0" fontId="34" fillId="0" borderId="7" xfId="0" applyFont="1" applyBorder="1" applyAlignment="1">
      <alignment horizontal="center" vertical="center" wrapText="1"/>
    </xf>
    <xf numFmtId="0" fontId="34" fillId="0" borderId="2" xfId="0" applyFont="1" applyBorder="1" applyAlignment="1">
      <alignment horizontal="center" vertical="center" wrapText="1"/>
    </xf>
    <xf numFmtId="10" fontId="55" fillId="18" borderId="3" xfId="0" applyNumberFormat="1" applyFont="1" applyFill="1" applyBorder="1" applyAlignment="1">
      <alignment horizontal="center" vertical="center"/>
    </xf>
    <xf numFmtId="10" fontId="55" fillId="18" borderId="21" xfId="0" applyNumberFormat="1" applyFont="1" applyFill="1" applyBorder="1" applyAlignment="1">
      <alignment horizontal="center" vertical="center"/>
    </xf>
    <xf numFmtId="10" fontId="55" fillId="17" borderId="36" xfId="0" applyNumberFormat="1" applyFont="1" applyFill="1" applyBorder="1" applyAlignment="1">
      <alignment horizontal="center" vertical="center"/>
    </xf>
    <xf numFmtId="10" fontId="55" fillId="17" borderId="21" xfId="0" applyNumberFormat="1" applyFont="1" applyFill="1" applyBorder="1" applyAlignment="1">
      <alignment horizontal="center" vertical="center"/>
    </xf>
    <xf numFmtId="10" fontId="55" fillId="17" borderId="3" xfId="0" applyNumberFormat="1" applyFont="1" applyFill="1" applyBorder="1" applyAlignment="1">
      <alignment horizontal="center" vertical="center"/>
    </xf>
    <xf numFmtId="10" fontId="55" fillId="17" borderId="20" xfId="1" applyNumberFormat="1" applyFont="1" applyFill="1" applyBorder="1" applyAlignment="1">
      <alignment horizontal="center" vertical="center"/>
    </xf>
    <xf numFmtId="10" fontId="55" fillId="17" borderId="24" xfId="0" applyNumberFormat="1" applyFont="1" applyFill="1" applyBorder="1" applyAlignment="1">
      <alignment horizontal="center" vertical="center"/>
    </xf>
    <xf numFmtId="10" fontId="55" fillId="17" borderId="6" xfId="0" applyNumberFormat="1" applyFont="1" applyFill="1" applyBorder="1" applyAlignment="1">
      <alignment horizontal="center" vertical="center"/>
    </xf>
    <xf numFmtId="10" fontId="55" fillId="17" borderId="41" xfId="0" applyNumberFormat="1" applyFont="1" applyFill="1" applyBorder="1" applyAlignment="1">
      <alignment horizontal="center" vertical="center"/>
    </xf>
    <xf numFmtId="10" fontId="55" fillId="17" borderId="16" xfId="0" applyNumberFormat="1" applyFont="1" applyFill="1" applyBorder="1" applyAlignment="1">
      <alignment horizontal="center" vertic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165" fontId="13" fillId="0" borderId="0" xfId="1" applyNumberFormat="1" applyFont="1" applyFill="1" applyBorder="1" applyAlignment="1"/>
    <xf numFmtId="164" fontId="0" fillId="0" borderId="7" xfId="0" applyNumberFormat="1" applyBorder="1"/>
    <xf numFmtId="0" fontId="30" fillId="0" borderId="0" xfId="0" applyFont="1" applyAlignment="1">
      <alignment wrapText="1"/>
    </xf>
    <xf numFmtId="0" fontId="63" fillId="0" borderId="8" xfId="0" applyFont="1" applyBorder="1" applyAlignment="1">
      <alignment horizontal="center" vertical="center" wrapText="1"/>
    </xf>
    <xf numFmtId="0" fontId="47" fillId="13" borderId="51" xfId="0" applyFont="1" applyFill="1" applyBorder="1" applyAlignment="1">
      <alignment horizontal="center" vertical="center" wrapText="1"/>
    </xf>
    <xf numFmtId="0" fontId="47" fillId="13" borderId="12" xfId="0" applyFont="1" applyFill="1" applyBorder="1" applyAlignment="1">
      <alignment horizontal="center" vertical="center" wrapText="1"/>
    </xf>
    <xf numFmtId="10" fontId="64" fillId="5" borderId="42" xfId="0" applyNumberFormat="1" applyFont="1" applyFill="1" applyBorder="1" applyAlignment="1">
      <alignment horizontal="center"/>
    </xf>
    <xf numFmtId="10" fontId="64" fillId="5" borderId="43" xfId="0" applyNumberFormat="1" applyFont="1" applyFill="1" applyBorder="1" applyAlignment="1">
      <alignment horizontal="center" wrapText="1"/>
    </xf>
    <xf numFmtId="0" fontId="47" fillId="14" borderId="25" xfId="0" applyFont="1" applyFill="1" applyBorder="1" applyAlignment="1">
      <alignment wrapText="1"/>
    </xf>
    <xf numFmtId="0" fontId="81" fillId="20" borderId="1" xfId="0" applyFont="1" applyFill="1" applyBorder="1" applyAlignment="1">
      <alignment horizontal="center"/>
    </xf>
    <xf numFmtId="0" fontId="35" fillId="3" borderId="8" xfId="0" applyFont="1" applyFill="1" applyBorder="1" applyAlignment="1">
      <alignment horizontal="center" vertical="center"/>
    </xf>
    <xf numFmtId="10" fontId="55" fillId="18" borderId="18" xfId="0" applyNumberFormat="1" applyFont="1" applyFill="1" applyBorder="1" applyAlignment="1">
      <alignment horizontal="center" vertical="center"/>
    </xf>
    <xf numFmtId="0" fontId="81" fillId="20" borderId="3" xfId="0" applyFont="1" applyFill="1" applyBorder="1" applyAlignment="1">
      <alignment horizontal="center"/>
    </xf>
    <xf numFmtId="0" fontId="12" fillId="0" borderId="3" xfId="0" applyFont="1" applyBorder="1" applyAlignment="1">
      <alignment horizontal="center" vertical="center" wrapText="1"/>
    </xf>
    <xf numFmtId="0" fontId="12" fillId="0" borderId="30" xfId="0" applyFont="1" applyBorder="1" applyAlignment="1">
      <alignment horizontal="center" vertical="center" wrapText="1"/>
    </xf>
    <xf numFmtId="0" fontId="65" fillId="0" borderId="0" xfId="0" applyFont="1" applyAlignment="1">
      <alignment horizontal="left" vertical="center"/>
    </xf>
    <xf numFmtId="0" fontId="37" fillId="8" borderId="38" xfId="0" applyFont="1" applyFill="1" applyBorder="1" applyAlignment="1">
      <alignment horizontal="center" vertical="center"/>
    </xf>
    <xf numFmtId="0" fontId="37" fillId="8" borderId="1" xfId="0" applyFont="1" applyFill="1" applyBorder="1" applyAlignment="1">
      <alignment horizontal="center" vertical="center"/>
    </xf>
    <xf numFmtId="0" fontId="37" fillId="8" borderId="19" xfId="0" applyFont="1" applyFill="1" applyBorder="1" applyAlignment="1">
      <alignment horizontal="center" vertical="center"/>
    </xf>
    <xf numFmtId="0" fontId="78" fillId="8" borderId="19" xfId="0" applyFont="1" applyFill="1" applyBorder="1" applyAlignment="1">
      <alignment horizontal="center" vertical="center"/>
    </xf>
    <xf numFmtId="0" fontId="78" fillId="8" borderId="19" xfId="0" applyFont="1" applyFill="1" applyBorder="1" applyAlignment="1">
      <alignment horizontal="center" vertical="center" wrapText="1"/>
    </xf>
    <xf numFmtId="0" fontId="11" fillId="0" borderId="38" xfId="0" applyFont="1" applyBorder="1" applyAlignment="1">
      <alignment vertical="center" wrapText="1"/>
    </xf>
    <xf numFmtId="0" fontId="11" fillId="0" borderId="39" xfId="0" applyFont="1" applyBorder="1" applyAlignment="1">
      <alignment vertical="center" wrapText="1"/>
    </xf>
    <xf numFmtId="0" fontId="11" fillId="0" borderId="1" xfId="0" applyFont="1" applyBorder="1" applyAlignment="1">
      <alignment horizontal="center" vertical="center" wrapText="1"/>
    </xf>
    <xf numFmtId="0" fontId="11" fillId="0" borderId="3" xfId="0" applyFont="1" applyBorder="1" applyAlignment="1">
      <alignment horizontal="center" vertical="center" wrapText="1"/>
    </xf>
    <xf numFmtId="0" fontId="57" fillId="0" borderId="0" xfId="0" applyFont="1" applyAlignment="1">
      <alignment vertical="center" wrapText="1"/>
    </xf>
    <xf numFmtId="164" fontId="0" fillId="0" borderId="1" xfId="1" applyNumberFormat="1" applyFont="1" applyFill="1" applyBorder="1" applyAlignment="1">
      <alignment horizontal="center"/>
    </xf>
    <xf numFmtId="10" fontId="64" fillId="0" borderId="23" xfId="0" applyNumberFormat="1" applyFont="1" applyBorder="1" applyAlignment="1">
      <alignment horizontal="center" wrapText="1"/>
    </xf>
    <xf numFmtId="10" fontId="64" fillId="0" borderId="13" xfId="0" applyNumberFormat="1" applyFont="1" applyBorder="1" applyAlignment="1">
      <alignment horizontal="center" wrapText="1"/>
    </xf>
    <xf numFmtId="10" fontId="64" fillId="0" borderId="52" xfId="0" applyNumberFormat="1" applyFont="1" applyBorder="1" applyAlignment="1">
      <alignment horizontal="center" wrapText="1"/>
    </xf>
    <xf numFmtId="0" fontId="26" fillId="0" borderId="0" xfId="0" applyFont="1" applyAlignment="1">
      <alignment horizontal="center" vertical="center" wrapText="1"/>
    </xf>
    <xf numFmtId="0" fontId="41" fillId="11" borderId="1" xfId="0" applyFont="1" applyFill="1" applyBorder="1" applyAlignment="1">
      <alignment horizontal="center" vertical="center"/>
    </xf>
    <xf numFmtId="0" fontId="41" fillId="11" borderId="3" xfId="0" applyFont="1" applyFill="1" applyBorder="1" applyAlignment="1">
      <alignment horizontal="center" vertical="center"/>
    </xf>
    <xf numFmtId="0" fontId="10" fillId="0" borderId="1" xfId="0" applyFont="1" applyBorder="1" applyAlignment="1">
      <alignment horizontal="center" vertical="center" wrapText="1"/>
    </xf>
    <xf numFmtId="0" fontId="60" fillId="0" borderId="8" xfId="0" applyFont="1" applyBorder="1" applyAlignment="1">
      <alignment horizontal="left" vertical="center" wrapText="1"/>
    </xf>
    <xf numFmtId="0" fontId="84" fillId="0" borderId="8" xfId="0" applyFont="1" applyBorder="1" applyAlignment="1">
      <alignment horizontal="left" vertical="center"/>
    </xf>
    <xf numFmtId="0" fontId="41" fillId="11" borderId="8" xfId="0" applyFont="1" applyFill="1" applyBorder="1"/>
    <xf numFmtId="0" fontId="0" fillId="0" borderId="8" xfId="0" applyBorder="1" applyAlignment="1">
      <alignment wrapText="1"/>
    </xf>
    <xf numFmtId="0" fontId="9"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8" fillId="0" borderId="1" xfId="0" applyFont="1" applyBorder="1" applyAlignment="1">
      <alignment horizontal="center" vertical="center" wrapText="1"/>
    </xf>
    <xf numFmtId="0" fontId="7" fillId="3" borderId="8" xfId="0" applyFont="1" applyFill="1" applyBorder="1" applyAlignment="1">
      <alignment horizontal="center" vertical="center"/>
    </xf>
    <xf numFmtId="0" fontId="6" fillId="0" borderId="1" xfId="0" applyFont="1" applyBorder="1" applyAlignment="1">
      <alignment horizontal="center" vertical="center" wrapText="1"/>
    </xf>
    <xf numFmtId="0" fontId="40" fillId="5" borderId="1"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12" xfId="0" applyFont="1" applyBorder="1" applyAlignment="1">
      <alignment horizontal="center" vertical="center" wrapText="1"/>
    </xf>
    <xf numFmtId="0" fontId="39" fillId="0" borderId="1" xfId="0" applyFont="1" applyBorder="1" applyAlignment="1">
      <alignment horizontal="center" vertical="center" wrapText="1"/>
    </xf>
    <xf numFmtId="0" fontId="40" fillId="25" borderId="1" xfId="0" applyFont="1" applyFill="1" applyBorder="1" applyAlignment="1">
      <alignment horizontal="center" vertical="center" wrapText="1"/>
    </xf>
    <xf numFmtId="0" fontId="40" fillId="25" borderId="12" xfId="0" applyFont="1" applyFill="1" applyBorder="1" applyAlignment="1">
      <alignment horizontal="center" vertical="center" wrapText="1"/>
    </xf>
    <xf numFmtId="0" fontId="40" fillId="25" borderId="8" xfId="0" applyFont="1" applyFill="1" applyBorder="1" applyAlignment="1">
      <alignment horizontal="center" vertical="center" wrapText="1"/>
    </xf>
    <xf numFmtId="165" fontId="0" fillId="0" borderId="4" xfId="1" applyNumberFormat="1" applyFont="1" applyBorder="1" applyAlignment="1">
      <alignment horizontal="center"/>
    </xf>
    <xf numFmtId="0" fontId="0" fillId="0" borderId="2" xfId="0" applyBorder="1" applyAlignment="1">
      <alignment wrapText="1"/>
    </xf>
    <xf numFmtId="0" fontId="4" fillId="0" borderId="8" xfId="0" applyFont="1" applyBorder="1" applyAlignment="1">
      <alignment horizontal="center" vertical="center" wrapText="1"/>
    </xf>
    <xf numFmtId="0" fontId="3" fillId="0" borderId="1" xfId="0" applyFont="1" applyBorder="1" applyAlignment="1">
      <alignment horizontal="center" vertical="center" wrapText="1"/>
    </xf>
    <xf numFmtId="165" fontId="5" fillId="0" borderId="0" xfId="1" applyNumberFormat="1" applyFont="1" applyFill="1" applyBorder="1" applyAlignment="1">
      <alignment wrapText="1"/>
    </xf>
    <xf numFmtId="0" fontId="3" fillId="0" borderId="1" xfId="0" applyFont="1" applyBorder="1" applyAlignment="1">
      <alignment horizontal="center" vertical="center"/>
    </xf>
    <xf numFmtId="0" fontId="3" fillId="0" borderId="8" xfId="0" applyFont="1" applyBorder="1" applyAlignment="1">
      <alignment horizontal="center" vertical="center" wrapText="1"/>
    </xf>
    <xf numFmtId="0" fontId="37" fillId="15" borderId="3" xfId="0" applyFont="1" applyFill="1" applyBorder="1"/>
    <xf numFmtId="0" fontId="18" fillId="0" borderId="8" xfId="0" applyFont="1" applyBorder="1" applyAlignment="1">
      <alignment horizontal="center" vertical="center" wrapText="1"/>
    </xf>
    <xf numFmtId="10" fontId="18" fillId="0" borderId="8" xfId="0" applyNumberFormat="1" applyFont="1" applyBorder="1" applyAlignment="1">
      <alignment horizontal="center" vertical="center" wrapText="1"/>
    </xf>
    <xf numFmtId="0" fontId="56" fillId="0" borderId="0" xfId="0" applyFont="1" applyAlignment="1">
      <alignment horizontal="left" vertical="center"/>
    </xf>
    <xf numFmtId="0" fontId="3" fillId="0" borderId="8" xfId="0" applyFont="1" applyBorder="1" applyAlignment="1">
      <alignment vertical="center" wrapText="1"/>
    </xf>
    <xf numFmtId="0" fontId="2" fillId="0" borderId="8" xfId="0" applyFont="1" applyBorder="1" applyAlignment="1">
      <alignment vertical="center" wrapText="1"/>
    </xf>
    <xf numFmtId="0" fontId="37" fillId="0" borderId="8" xfId="0" applyFont="1" applyBorder="1" applyAlignment="1">
      <alignment horizontal="center" vertical="center" wrapText="1"/>
    </xf>
    <xf numFmtId="0" fontId="37" fillId="0" borderId="3" xfId="0" applyFont="1" applyBorder="1" applyAlignment="1">
      <alignment horizontal="center" vertical="center" wrapText="1"/>
    </xf>
    <xf numFmtId="0" fontId="37" fillId="0" borderId="11" xfId="0" applyFont="1" applyBorder="1" applyAlignment="1">
      <alignment horizontal="center" vertical="center" wrapText="1"/>
    </xf>
    <xf numFmtId="0" fontId="37" fillId="0" borderId="17" xfId="0" applyFont="1" applyBorder="1" applyAlignment="1">
      <alignment horizontal="center" vertical="center" wrapText="1"/>
    </xf>
    <xf numFmtId="0" fontId="41" fillId="0" borderId="8" xfId="0" applyFont="1" applyBorder="1" applyAlignment="1">
      <alignment horizontal="center" vertical="center"/>
    </xf>
    <xf numFmtId="0" fontId="41" fillId="0" borderId="10" xfId="0" applyFont="1" applyBorder="1" applyAlignment="1">
      <alignment horizontal="center" vertical="center"/>
    </xf>
    <xf numFmtId="0" fontId="41" fillId="0" borderId="3" xfId="0" applyFont="1" applyBorder="1" applyAlignment="1">
      <alignment horizontal="center" vertical="center"/>
    </xf>
    <xf numFmtId="0" fontId="37" fillId="9" borderId="8" xfId="0" applyFont="1" applyFill="1" applyBorder="1" applyAlignment="1">
      <alignment horizontal="center" vertical="center"/>
    </xf>
    <xf numFmtId="0" fontId="37" fillId="9" borderId="10" xfId="0" applyFont="1" applyFill="1" applyBorder="1" applyAlignment="1">
      <alignment horizontal="center" vertical="center"/>
    </xf>
    <xf numFmtId="0" fontId="43" fillId="0" borderId="17" xfId="0" applyFont="1" applyBorder="1" applyAlignment="1">
      <alignment horizontal="left" vertical="center" wrapText="1"/>
    </xf>
    <xf numFmtId="0" fontId="43" fillId="0" borderId="0" xfId="0" applyFont="1" applyAlignment="1">
      <alignment horizontal="left" vertical="center" wrapText="1"/>
    </xf>
    <xf numFmtId="3" fontId="64" fillId="0" borderId="8" xfId="0" applyNumberFormat="1" applyFont="1" applyBorder="1" applyAlignment="1">
      <alignment horizontal="center" vertical="center"/>
    </xf>
    <xf numFmtId="3" fontId="64" fillId="0" borderId="3" xfId="0" applyNumberFormat="1" applyFont="1" applyBorder="1" applyAlignment="1">
      <alignment horizontal="center" vertical="center"/>
    </xf>
    <xf numFmtId="0" fontId="37" fillId="8" borderId="7" xfId="0" applyFont="1" applyFill="1" applyBorder="1" applyAlignment="1">
      <alignment horizontal="center" vertical="center"/>
    </xf>
    <xf numFmtId="0" fontId="37" fillId="8" borderId="14" xfId="0" applyFont="1" applyFill="1" applyBorder="1" applyAlignment="1">
      <alignment horizontal="center" vertical="center"/>
    </xf>
    <xf numFmtId="0" fontId="11" fillId="0" borderId="8" xfId="0" applyFont="1" applyBorder="1" applyAlignment="1">
      <alignment horizontal="center" vertical="center" wrapText="1"/>
    </xf>
    <xf numFmtId="0" fontId="35" fillId="0" borderId="10" xfId="0" applyFont="1" applyBorder="1" applyAlignment="1">
      <alignment horizontal="center" vertical="center" wrapText="1"/>
    </xf>
    <xf numFmtId="0" fontId="35" fillId="0" borderId="3" xfId="0" applyFont="1" applyBorder="1" applyAlignment="1">
      <alignment horizontal="center" vertical="center" wrapText="1"/>
    </xf>
    <xf numFmtId="0" fontId="37" fillId="7" borderId="17" xfId="0" applyFont="1" applyFill="1" applyBorder="1" applyAlignment="1">
      <alignment horizontal="center"/>
    </xf>
    <xf numFmtId="0" fontId="37" fillId="7" borderId="9" xfId="0" applyFont="1" applyFill="1" applyBorder="1" applyAlignment="1">
      <alignment horizontal="center"/>
    </xf>
    <xf numFmtId="0" fontId="37" fillId="7" borderId="12" xfId="0" applyFont="1" applyFill="1" applyBorder="1" applyAlignment="1">
      <alignment horizontal="center"/>
    </xf>
    <xf numFmtId="0" fontId="37" fillId="0" borderId="10" xfId="0" applyFont="1" applyBorder="1" applyAlignment="1">
      <alignment horizontal="center" vertical="center" wrapText="1"/>
    </xf>
    <xf numFmtId="0" fontId="56" fillId="0" borderId="10" xfId="0" applyFont="1" applyBorder="1" applyAlignment="1">
      <alignment horizontal="center" vertical="center" wrapText="1"/>
    </xf>
    <xf numFmtId="0" fontId="56" fillId="0" borderId="3" xfId="0" applyFont="1" applyBorder="1" applyAlignment="1">
      <alignment horizontal="center" vertical="center" wrapText="1"/>
    </xf>
    <xf numFmtId="0" fontId="56" fillId="0" borderId="8" xfId="0" applyFont="1" applyBorder="1" applyAlignment="1">
      <alignment horizontal="center" vertical="center"/>
    </xf>
    <xf numFmtId="0" fontId="56" fillId="0" borderId="10" xfId="0" applyFont="1" applyBorder="1" applyAlignment="1">
      <alignment horizontal="center" vertical="center"/>
    </xf>
    <xf numFmtId="0" fontId="56" fillId="0" borderId="3" xfId="0" applyFont="1" applyBorder="1" applyAlignment="1">
      <alignment horizontal="center" vertical="center"/>
    </xf>
    <xf numFmtId="0" fontId="37" fillId="8" borderId="2"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9" xfId="0" applyFont="1" applyFill="1" applyBorder="1" applyAlignment="1">
      <alignment horizontal="center" vertical="center"/>
    </xf>
    <xf numFmtId="0" fontId="37" fillId="8" borderId="12" xfId="0" applyFont="1" applyFill="1" applyBorder="1" applyAlignment="1">
      <alignment horizontal="center" vertical="center"/>
    </xf>
    <xf numFmtId="0" fontId="37" fillId="0" borderId="7" xfId="0" applyFont="1" applyBorder="1" applyAlignment="1">
      <alignment horizontal="center" vertical="center"/>
    </xf>
    <xf numFmtId="0" fontId="37" fillId="0" borderId="2" xfId="0" applyFont="1" applyBorder="1" applyAlignment="1">
      <alignment horizontal="center" vertical="center"/>
    </xf>
    <xf numFmtId="0" fontId="37" fillId="0" borderId="7" xfId="0" applyFont="1" applyBorder="1" applyAlignment="1">
      <alignment horizontal="center" vertical="center" wrapText="1"/>
    </xf>
    <xf numFmtId="0" fontId="37" fillId="0" borderId="2" xfId="0" applyFont="1" applyBorder="1" applyAlignment="1">
      <alignment horizontal="center" vertical="center" wrapText="1"/>
    </xf>
    <xf numFmtId="0" fontId="57" fillId="0" borderId="11" xfId="0" applyFont="1" applyBorder="1" applyAlignment="1">
      <alignment horizontal="center" vertical="center" wrapText="1"/>
    </xf>
    <xf numFmtId="0" fontId="57" fillId="0" borderId="9" xfId="0" applyFont="1" applyBorder="1" applyAlignment="1">
      <alignment horizontal="center" vertical="center" wrapText="1"/>
    </xf>
    <xf numFmtId="0" fontId="57" fillId="0" borderId="17" xfId="0" applyFont="1" applyBorder="1" applyAlignment="1">
      <alignment horizontal="center" vertical="center" wrapText="1"/>
    </xf>
    <xf numFmtId="0" fontId="57" fillId="0" borderId="0" xfId="0" applyFont="1" applyAlignment="1">
      <alignment horizontal="center" vertical="center" wrapText="1"/>
    </xf>
    <xf numFmtId="0" fontId="37" fillId="19" borderId="6" xfId="0" applyFont="1" applyFill="1" applyBorder="1" applyAlignment="1">
      <alignment horizontal="center"/>
    </xf>
    <xf numFmtId="0" fontId="37" fillId="19" borderId="5" xfId="0" applyFont="1" applyFill="1" applyBorder="1" applyAlignment="1">
      <alignment horizontal="center"/>
    </xf>
    <xf numFmtId="0" fontId="37" fillId="19" borderId="4" xfId="0" applyFont="1" applyFill="1" applyBorder="1" applyAlignment="1">
      <alignment horizontal="center"/>
    </xf>
    <xf numFmtId="0" fontId="37" fillId="9" borderId="3" xfId="0" applyFont="1" applyFill="1" applyBorder="1" applyAlignment="1">
      <alignment horizontal="center" vertical="center"/>
    </xf>
    <xf numFmtId="0" fontId="37" fillId="10" borderId="8" xfId="0" applyFont="1" applyFill="1" applyBorder="1" applyAlignment="1">
      <alignment horizontal="center" vertical="center" wrapText="1"/>
    </xf>
    <xf numFmtId="0" fontId="37" fillId="10" borderId="3" xfId="0" applyFont="1" applyFill="1" applyBorder="1" applyAlignment="1">
      <alignment horizontal="center" vertical="center" wrapText="1"/>
    </xf>
    <xf numFmtId="0" fontId="27" fillId="0" borderId="11" xfId="0" applyFont="1" applyBorder="1" applyAlignment="1">
      <alignment horizontal="center" vertical="center" wrapText="1"/>
    </xf>
    <xf numFmtId="0" fontId="27" fillId="0" borderId="17" xfId="0" applyFont="1" applyBorder="1" applyAlignment="1">
      <alignment horizontal="center" vertical="center" wrapText="1"/>
    </xf>
    <xf numFmtId="0" fontId="37" fillId="10" borderId="11" xfId="0" applyFont="1" applyFill="1" applyBorder="1" applyAlignment="1">
      <alignment horizontal="center" vertical="center" wrapText="1"/>
    </xf>
    <xf numFmtId="0" fontId="37" fillId="10" borderId="6" xfId="0" applyFont="1" applyFill="1" applyBorder="1" applyAlignment="1">
      <alignment horizontal="center" vertical="center" wrapText="1"/>
    </xf>
    <xf numFmtId="0" fontId="39" fillId="0" borderId="17" xfId="0" applyFont="1" applyBorder="1" applyAlignment="1">
      <alignment horizontal="left" vertical="top" wrapText="1"/>
    </xf>
    <xf numFmtId="0" fontId="39" fillId="0" borderId="0" xfId="0" applyFont="1" applyAlignment="1">
      <alignment horizontal="left" vertical="top" wrapText="1"/>
    </xf>
    <xf numFmtId="0" fontId="47" fillId="13" borderId="7" xfId="0" applyFont="1" applyFill="1" applyBorder="1" applyAlignment="1">
      <alignment horizontal="center" vertical="center" wrapText="1"/>
    </xf>
    <xf numFmtId="0" fontId="47" fillId="13" borderId="2" xfId="0" applyFont="1" applyFill="1" applyBorder="1" applyAlignment="1">
      <alignment horizontal="center" vertical="center" wrapText="1"/>
    </xf>
    <xf numFmtId="0" fontId="81" fillId="13" borderId="7" xfId="0" applyFont="1" applyFill="1" applyBorder="1" applyAlignment="1">
      <alignment horizontal="center" vertical="center" wrapText="1"/>
    </xf>
    <xf numFmtId="0" fontId="81" fillId="13" borderId="14" xfId="0" applyFont="1" applyFill="1" applyBorder="1" applyAlignment="1">
      <alignment horizontal="center" vertical="center" wrapText="1"/>
    </xf>
    <xf numFmtId="0" fontId="81" fillId="13" borderId="2" xfId="0" applyFont="1" applyFill="1" applyBorder="1" applyAlignment="1">
      <alignment horizontal="center" vertical="center" wrapText="1"/>
    </xf>
    <xf numFmtId="0" fontId="37" fillId="10" borderId="7" xfId="0" applyFont="1" applyFill="1" applyBorder="1" applyAlignment="1">
      <alignment horizontal="center" vertical="center"/>
    </xf>
    <xf numFmtId="0" fontId="37" fillId="10" borderId="14" xfId="0" applyFont="1" applyFill="1" applyBorder="1" applyAlignment="1">
      <alignment horizontal="center" vertical="center"/>
    </xf>
    <xf numFmtId="0" fontId="37" fillId="10" borderId="2" xfId="0" applyFont="1" applyFill="1" applyBorder="1" applyAlignment="1">
      <alignment horizontal="center" vertical="center"/>
    </xf>
    <xf numFmtId="0" fontId="38" fillId="6" borderId="7" xfId="0" applyFont="1" applyFill="1" applyBorder="1" applyAlignment="1">
      <alignment horizontal="center" vertical="center"/>
    </xf>
    <xf numFmtId="0" fontId="38" fillId="6" borderId="14" xfId="0" applyFont="1" applyFill="1" applyBorder="1" applyAlignment="1">
      <alignment horizontal="center" vertical="center"/>
    </xf>
    <xf numFmtId="0" fontId="38" fillId="6" borderId="12" xfId="0" applyFont="1" applyFill="1" applyBorder="1" applyAlignment="1">
      <alignment horizontal="center" vertical="center"/>
    </xf>
    <xf numFmtId="0" fontId="5" fillId="3" borderId="17" xfId="0" applyFont="1" applyFill="1" applyBorder="1" applyAlignment="1">
      <alignment horizontal="left" vertical="center" wrapText="1"/>
    </xf>
    <xf numFmtId="0" fontId="20" fillId="3" borderId="0" xfId="0" applyFont="1" applyFill="1" applyAlignment="1">
      <alignment horizontal="left" vertical="center" wrapText="1"/>
    </xf>
    <xf numFmtId="0" fontId="20" fillId="3" borderId="17" xfId="0" applyFont="1" applyFill="1" applyBorder="1" applyAlignment="1">
      <alignment horizontal="left" vertical="center" wrapText="1"/>
    </xf>
    <xf numFmtId="0" fontId="37" fillId="0" borderId="7" xfId="0" applyFont="1" applyBorder="1" applyAlignment="1">
      <alignment horizontal="center"/>
    </xf>
    <xf numFmtId="0" fontId="37" fillId="0" borderId="14" xfId="0" applyFont="1" applyBorder="1" applyAlignment="1">
      <alignment horizontal="center"/>
    </xf>
    <xf numFmtId="0" fontId="34" fillId="7" borderId="7" xfId="0" applyFont="1" applyFill="1" applyBorder="1" applyAlignment="1">
      <alignment horizontal="center" vertical="center" wrapText="1"/>
    </xf>
    <xf numFmtId="0" fontId="34" fillId="7" borderId="2" xfId="0" applyFont="1" applyFill="1" applyBorder="1" applyAlignment="1">
      <alignment horizontal="center" vertical="center" wrapText="1"/>
    </xf>
    <xf numFmtId="0" fontId="69" fillId="3" borderId="7" xfId="0" applyFont="1" applyFill="1" applyBorder="1" applyAlignment="1">
      <alignment horizontal="center" vertical="center" wrapText="1"/>
    </xf>
    <xf numFmtId="0" fontId="69" fillId="3" borderId="2" xfId="0" applyFont="1" applyFill="1" applyBorder="1" applyAlignment="1">
      <alignment horizontal="center" vertical="center" wrapText="1"/>
    </xf>
    <xf numFmtId="0" fontId="61" fillId="0" borderId="7" xfId="0" applyFont="1" applyBorder="1" applyAlignment="1">
      <alignment horizontal="center" vertical="center" wrapText="1"/>
    </xf>
    <xf numFmtId="0" fontId="61" fillId="0" borderId="14" xfId="0" applyFont="1" applyBorder="1" applyAlignment="1">
      <alignment horizontal="center" vertical="center" wrapText="1"/>
    </xf>
    <xf numFmtId="0" fontId="61" fillId="0" borderId="2" xfId="0" applyFont="1" applyBorder="1" applyAlignment="1">
      <alignment horizontal="center" vertical="center" wrapText="1"/>
    </xf>
    <xf numFmtId="0" fontId="42" fillId="7" borderId="7"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42" fillId="7" borderId="2" xfId="0" applyFont="1" applyFill="1" applyBorder="1" applyAlignment="1">
      <alignment horizontal="center" vertical="center" wrapText="1"/>
    </xf>
    <xf numFmtId="0" fontId="54" fillId="0" borderId="7" xfId="0" applyFont="1" applyBorder="1" applyAlignment="1">
      <alignment horizontal="center" vertical="center"/>
    </xf>
    <xf numFmtId="0" fontId="54" fillId="0" borderId="2" xfId="0" applyFont="1" applyBorder="1" applyAlignment="1">
      <alignment horizontal="center" vertical="center"/>
    </xf>
    <xf numFmtId="0" fontId="54" fillId="0" borderId="14" xfId="0" applyFont="1" applyBorder="1" applyAlignment="1">
      <alignment horizontal="center" vertical="center"/>
    </xf>
    <xf numFmtId="0" fontId="70" fillId="3" borderId="7" xfId="0" applyFont="1" applyFill="1" applyBorder="1" applyAlignment="1">
      <alignment horizontal="center" vertical="center" wrapText="1"/>
    </xf>
    <xf numFmtId="0" fontId="70" fillId="3" borderId="2" xfId="0" applyFont="1" applyFill="1" applyBorder="1" applyAlignment="1">
      <alignment horizontal="center" vertical="center" wrapText="1"/>
    </xf>
    <xf numFmtId="0" fontId="69" fillId="22" borderId="7" xfId="0" applyFont="1" applyFill="1" applyBorder="1" applyAlignment="1">
      <alignment horizontal="center" vertical="center" wrapText="1"/>
    </xf>
    <xf numFmtId="0" fontId="69" fillId="22" borderId="2" xfId="0" applyFont="1" applyFill="1" applyBorder="1" applyAlignment="1">
      <alignment horizontal="center" vertical="center" wrapText="1"/>
    </xf>
    <xf numFmtId="0" fontId="19" fillId="0" borderId="0" xfId="0" applyFont="1" applyAlignment="1">
      <alignment horizontal="left" vertical="top" wrapText="1"/>
    </xf>
    <xf numFmtId="0" fontId="21" fillId="0" borderId="0" xfId="0" applyFont="1" applyAlignment="1">
      <alignment horizontal="left" vertical="top" wrapText="1"/>
    </xf>
    <xf numFmtId="0" fontId="16" fillId="0" borderId="0" xfId="0" applyFont="1" applyAlignment="1">
      <alignment horizontal="center" vertical="top" wrapText="1"/>
    </xf>
    <xf numFmtId="0" fontId="17" fillId="0" borderId="0" xfId="0" applyFont="1" applyAlignment="1">
      <alignment horizontal="center" vertical="top" wrapText="1"/>
    </xf>
    <xf numFmtId="0" fontId="17" fillId="0" borderId="5" xfId="0" applyFont="1" applyBorder="1" applyAlignment="1">
      <alignment horizontal="center" vertical="top" wrapText="1"/>
    </xf>
    <xf numFmtId="0" fontId="37" fillId="24" borderId="17" xfId="0" applyFont="1" applyFill="1" applyBorder="1" applyAlignment="1">
      <alignment horizontal="center" vertical="center"/>
    </xf>
    <xf numFmtId="0" fontId="37" fillId="24" borderId="0" xfId="0" applyFont="1" applyFill="1" applyAlignment="1">
      <alignment horizontal="center" vertical="center"/>
    </xf>
    <xf numFmtId="0" fontId="42" fillId="4" borderId="7" xfId="0" applyFont="1" applyFill="1" applyBorder="1" applyAlignment="1">
      <alignment horizontal="center" vertical="center" wrapText="1"/>
    </xf>
    <xf numFmtId="0" fontId="42" fillId="4" borderId="14" xfId="0" applyFont="1" applyFill="1" applyBorder="1" applyAlignment="1">
      <alignment horizontal="center" vertical="center" wrapText="1"/>
    </xf>
    <xf numFmtId="0" fontId="42" fillId="4" borderId="2" xfId="0" applyFont="1" applyFill="1" applyBorder="1" applyAlignment="1">
      <alignment horizontal="center" vertical="center" wrapText="1"/>
    </xf>
    <xf numFmtId="0" fontId="71" fillId="22" borderId="8" xfId="0" applyFont="1" applyFill="1" applyBorder="1" applyAlignment="1">
      <alignment horizontal="justify" vertical="center" wrapText="1"/>
    </xf>
    <xf numFmtId="0" fontId="68" fillId="22" borderId="3" xfId="0" applyFont="1" applyFill="1" applyBorder="1" applyAlignment="1">
      <alignment horizontal="justify" vertical="center" wrapText="1"/>
    </xf>
    <xf numFmtId="0" fontId="83" fillId="0" borderId="8" xfId="0" applyFont="1" applyBorder="1" applyAlignment="1">
      <alignment horizontal="center" vertical="center"/>
    </xf>
    <xf numFmtId="0" fontId="83" fillId="0" borderId="3" xfId="0" applyFont="1" applyBorder="1" applyAlignment="1">
      <alignment horizontal="center" vertical="center"/>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10" fillId="0" borderId="17" xfId="0" applyFont="1" applyBorder="1" applyAlignment="1">
      <alignment horizontal="left" vertical="center" wrapText="1"/>
    </xf>
    <xf numFmtId="0" fontId="10" fillId="0" borderId="0" xfId="0" applyFont="1" applyAlignment="1">
      <alignment horizontal="left" vertical="center" wrapText="1"/>
    </xf>
    <xf numFmtId="0" fontId="54" fillId="0" borderId="8" xfId="0" applyFont="1" applyBorder="1" applyAlignment="1">
      <alignment horizontal="center" vertical="center"/>
    </xf>
    <xf numFmtId="0" fontId="54" fillId="0" borderId="21" xfId="0" applyFont="1" applyBorder="1" applyAlignment="1">
      <alignment horizontal="center" vertical="center"/>
    </xf>
    <xf numFmtId="0" fontId="34" fillId="7" borderId="11" xfId="0" applyFont="1" applyFill="1" applyBorder="1" applyAlignment="1">
      <alignment horizontal="center" vertical="center" wrapText="1"/>
    </xf>
    <xf numFmtId="0" fontId="34" fillId="7" borderId="12" xfId="0" applyFont="1" applyFill="1" applyBorder="1" applyAlignment="1">
      <alignment horizontal="center" vertical="center" wrapText="1"/>
    </xf>
    <xf numFmtId="0" fontId="34" fillId="7" borderId="6" xfId="0" applyFont="1" applyFill="1" applyBorder="1" applyAlignment="1">
      <alignment horizontal="center" vertical="center" wrapText="1"/>
    </xf>
    <xf numFmtId="0" fontId="34" fillId="7" borderId="4" xfId="0" applyFont="1" applyFill="1" applyBorder="1" applyAlignment="1">
      <alignment horizontal="center" vertical="center" wrapText="1"/>
    </xf>
    <xf numFmtId="0" fontId="54" fillId="16" borderId="8" xfId="0" applyFont="1" applyFill="1" applyBorder="1" applyAlignment="1">
      <alignment horizontal="center" vertical="center"/>
    </xf>
    <xf numFmtId="0" fontId="54" fillId="16" borderId="3" xfId="0" applyFont="1" applyFill="1" applyBorder="1" applyAlignment="1">
      <alignment horizontal="center" vertical="center"/>
    </xf>
    <xf numFmtId="0" fontId="54" fillId="16" borderId="10" xfId="0" applyFont="1" applyFill="1" applyBorder="1" applyAlignment="1">
      <alignment horizontal="center" vertical="center"/>
    </xf>
    <xf numFmtId="0" fontId="36" fillId="0" borderId="8"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3" xfId="0" applyFont="1" applyBorder="1" applyAlignment="1">
      <alignment horizontal="center" vertical="center" wrapText="1"/>
    </xf>
    <xf numFmtId="0" fontId="58" fillId="0" borderId="50" xfId="0" applyFont="1" applyBorder="1" applyAlignment="1">
      <alignment horizontal="center" vertical="center" wrapText="1"/>
    </xf>
    <xf numFmtId="0" fontId="58" fillId="0" borderId="10" xfId="0" applyFont="1" applyBorder="1" applyAlignment="1">
      <alignment horizontal="center" vertical="center" wrapText="1"/>
    </xf>
    <xf numFmtId="0" fontId="58" fillId="0" borderId="3" xfId="0" applyFont="1" applyBorder="1" applyAlignment="1">
      <alignment horizontal="center" vertical="center" wrapText="1"/>
    </xf>
    <xf numFmtId="0" fontId="55" fillId="17" borderId="7" xfId="0" applyFont="1" applyFill="1" applyBorder="1" applyAlignment="1">
      <alignment horizontal="center" vertical="center"/>
    </xf>
    <xf numFmtId="0" fontId="55" fillId="17" borderId="14" xfId="0" applyFont="1" applyFill="1" applyBorder="1" applyAlignment="1">
      <alignment horizontal="center" vertical="center"/>
    </xf>
    <xf numFmtId="0" fontId="55" fillId="17" borderId="2" xfId="0" applyFont="1" applyFill="1" applyBorder="1" applyAlignment="1">
      <alignment horizontal="center" vertical="center"/>
    </xf>
    <xf numFmtId="0" fontId="47" fillId="0" borderId="8" xfId="0" applyFont="1" applyBorder="1" applyAlignment="1">
      <alignment horizontal="center" vertical="center" wrapText="1"/>
    </xf>
    <xf numFmtId="0" fontId="47" fillId="0" borderId="10" xfId="0" applyFont="1" applyBorder="1" applyAlignment="1">
      <alignment horizontal="center" vertical="center" wrapText="1"/>
    </xf>
    <xf numFmtId="0" fontId="47" fillId="0" borderId="3" xfId="0" applyFont="1" applyBorder="1" applyAlignment="1">
      <alignment horizontal="center" vertical="center" wrapText="1"/>
    </xf>
    <xf numFmtId="0" fontId="47" fillId="20" borderId="10" xfId="0" applyFont="1" applyFill="1" applyBorder="1" applyAlignment="1">
      <alignment horizontal="center" vertical="center" wrapText="1"/>
    </xf>
    <xf numFmtId="0" fontId="47" fillId="20" borderId="3" xfId="0" applyFont="1" applyFill="1" applyBorder="1" applyAlignment="1">
      <alignment horizontal="center" vertical="center" wrapText="1"/>
    </xf>
    <xf numFmtId="0" fontId="47" fillId="13" borderId="8" xfId="0" applyFont="1" applyFill="1" applyBorder="1" applyAlignment="1">
      <alignment horizontal="center" vertical="center" wrapText="1"/>
    </xf>
    <xf numFmtId="0" fontId="47" fillId="13" borderId="3" xfId="0" applyFont="1" applyFill="1" applyBorder="1" applyAlignment="1">
      <alignment horizontal="center" vertical="center" wrapText="1"/>
    </xf>
    <xf numFmtId="0" fontId="41" fillId="20" borderId="6" xfId="0" applyFont="1" applyFill="1" applyBorder="1" applyAlignment="1">
      <alignment horizontal="center" vertical="center" wrapText="1"/>
    </xf>
    <xf numFmtId="0" fontId="41" fillId="20" borderId="5" xfId="0" applyFont="1" applyFill="1" applyBorder="1" applyAlignment="1">
      <alignment horizontal="center" vertical="center" wrapText="1"/>
    </xf>
    <xf numFmtId="0" fontId="41" fillId="20" borderId="4" xfId="0" applyFont="1" applyFill="1" applyBorder="1" applyAlignment="1">
      <alignment horizontal="center" vertical="center" wrapText="1"/>
    </xf>
    <xf numFmtId="0" fontId="41" fillId="20" borderId="11" xfId="0" applyFont="1" applyFill="1" applyBorder="1" applyAlignment="1">
      <alignment horizontal="center" vertical="center" wrapText="1"/>
    </xf>
    <xf numFmtId="0" fontId="41" fillId="20" borderId="9" xfId="0" applyFont="1" applyFill="1" applyBorder="1" applyAlignment="1">
      <alignment horizontal="center" vertical="center" wrapText="1"/>
    </xf>
    <xf numFmtId="0" fontId="41" fillId="20" borderId="12" xfId="0" applyFont="1" applyFill="1" applyBorder="1" applyAlignment="1">
      <alignment horizontal="center" vertical="center" wrapText="1"/>
    </xf>
    <xf numFmtId="0" fontId="41" fillId="20" borderId="7" xfId="0" applyFont="1" applyFill="1" applyBorder="1" applyAlignment="1">
      <alignment horizontal="center" vertical="center" wrapText="1"/>
    </xf>
    <xf numFmtId="0" fontId="41" fillId="20" borderId="14" xfId="0" applyFont="1" applyFill="1" applyBorder="1" applyAlignment="1">
      <alignment horizontal="center" vertical="center" wrapText="1"/>
    </xf>
    <xf numFmtId="0" fontId="41" fillId="20" borderId="2" xfId="0" applyFont="1" applyFill="1" applyBorder="1" applyAlignment="1">
      <alignment horizontal="center" vertical="center" wrapText="1"/>
    </xf>
    <xf numFmtId="165" fontId="0" fillId="0" borderId="17" xfId="1" applyNumberFormat="1" applyFont="1" applyFill="1" applyBorder="1" applyAlignment="1">
      <alignment horizontal="left" vertical="top" wrapText="1"/>
    </xf>
    <xf numFmtId="165" fontId="0" fillId="0" borderId="0" xfId="1" applyNumberFormat="1" applyFont="1" applyFill="1" applyBorder="1" applyAlignment="1">
      <alignment horizontal="left" vertical="top" wrapText="1"/>
    </xf>
    <xf numFmtId="165" fontId="0" fillId="0" borderId="17" xfId="1" applyNumberFormat="1" applyFont="1" applyFill="1" applyBorder="1" applyAlignment="1">
      <alignment horizontal="left" wrapText="1"/>
    </xf>
    <xf numFmtId="165" fontId="0" fillId="0" borderId="0" xfId="1" applyNumberFormat="1" applyFont="1" applyFill="1" applyBorder="1" applyAlignment="1">
      <alignment horizontal="left" wrapText="1"/>
    </xf>
    <xf numFmtId="165" fontId="5" fillId="0" borderId="0" xfId="1" applyNumberFormat="1" applyFont="1" applyFill="1" applyBorder="1" applyAlignment="1">
      <alignment horizontal="left" wrapText="1"/>
    </xf>
    <xf numFmtId="0" fontId="37" fillId="7" borderId="7" xfId="0" applyFont="1" applyFill="1" applyBorder="1" applyAlignment="1">
      <alignment horizontal="center"/>
    </xf>
    <xf numFmtId="0" fontId="37" fillId="7" borderId="14" xfId="0" applyFont="1" applyFill="1" applyBorder="1" applyAlignment="1">
      <alignment horizontal="center"/>
    </xf>
    <xf numFmtId="0" fontId="41" fillId="11" borderId="7" xfId="0" applyFont="1" applyFill="1" applyBorder="1" applyAlignment="1">
      <alignment horizontal="center"/>
    </xf>
    <xf numFmtId="0" fontId="41" fillId="11" borderId="14" xfId="0" applyFont="1" applyFill="1" applyBorder="1" applyAlignment="1">
      <alignment horizontal="center"/>
    </xf>
    <xf numFmtId="0" fontId="41" fillId="11" borderId="2" xfId="0" applyFont="1" applyFill="1" applyBorder="1" applyAlignment="1">
      <alignment horizontal="center"/>
    </xf>
    <xf numFmtId="0" fontId="37" fillId="0" borderId="6" xfId="0" applyFont="1" applyBorder="1" applyAlignment="1">
      <alignment horizontal="center" vertical="center" wrapText="1"/>
    </xf>
    <xf numFmtId="0" fontId="64" fillId="0" borderId="8" xfId="0" applyFont="1" applyBorder="1" applyAlignment="1">
      <alignment horizontal="center" vertical="center" wrapText="1"/>
    </xf>
    <xf numFmtId="0" fontId="64" fillId="0" borderId="3" xfId="0" applyFont="1" applyBorder="1" applyAlignment="1">
      <alignment horizontal="center" vertical="center" wrapText="1"/>
    </xf>
    <xf numFmtId="0" fontId="39" fillId="0" borderId="6" xfId="0" applyFont="1" applyBorder="1" applyAlignment="1">
      <alignment horizontal="left" vertical="top" wrapText="1"/>
    </xf>
    <xf numFmtId="0" fontId="39" fillId="0" borderId="5" xfId="0" applyFont="1" applyBorder="1" applyAlignment="1">
      <alignment horizontal="left" vertical="top" wrapText="1"/>
    </xf>
  </cellXfs>
  <cellStyles count="23">
    <cellStyle name="Comma 2" xfId="14" xr:uid="{00000000-0005-0000-0000-000000000000}"/>
    <cellStyle name="Comma 3" xfId="11" xr:uid="{00000000-0005-0000-0000-000001000000}"/>
    <cellStyle name="Comma 3 2" xfId="17" xr:uid="{00000000-0005-0000-0000-000002000000}"/>
    <cellStyle name="Comma 3 3" xfId="21" xr:uid="{00000000-0005-0000-0000-000003000000}"/>
    <cellStyle name="Normal" xfId="0" builtinId="0"/>
    <cellStyle name="Normal 2" xfId="4" xr:uid="{00000000-0005-0000-0000-000005000000}"/>
    <cellStyle name="Normal 2 2" xfId="13" xr:uid="{00000000-0005-0000-0000-000006000000}"/>
    <cellStyle name="Normal 3" xfId="5" xr:uid="{00000000-0005-0000-0000-000007000000}"/>
    <cellStyle name="Normal 3 2" xfId="10" xr:uid="{00000000-0005-0000-0000-000008000000}"/>
    <cellStyle name="Normal 3 2 2" xfId="16" xr:uid="{00000000-0005-0000-0000-000009000000}"/>
    <cellStyle name="Normal 3 2 3" xfId="20" xr:uid="{00000000-0005-0000-0000-00000A000000}"/>
    <cellStyle name="Normal 4" xfId="3" xr:uid="{00000000-0005-0000-0000-00000B000000}"/>
    <cellStyle name="Normal 5" xfId="9" xr:uid="{00000000-0005-0000-0000-00000C000000}"/>
    <cellStyle name="Normal 5 2" xfId="19" xr:uid="{00000000-0005-0000-0000-00000D000000}"/>
    <cellStyle name="Normal 6" xfId="15" xr:uid="{00000000-0005-0000-0000-00000E000000}"/>
    <cellStyle name="Normal 7" xfId="2" xr:uid="{00000000-0005-0000-0000-00000F000000}"/>
    <cellStyle name="Percent" xfId="1" builtinId="5"/>
    <cellStyle name="Percent 2" xfId="7" xr:uid="{00000000-0005-0000-0000-000011000000}"/>
    <cellStyle name="Percent 2 2" xfId="12" xr:uid="{00000000-0005-0000-0000-000012000000}"/>
    <cellStyle name="Percent 2 2 2" xfId="18" xr:uid="{00000000-0005-0000-0000-000013000000}"/>
    <cellStyle name="Percent 2 2 3" xfId="22" xr:uid="{00000000-0005-0000-0000-000014000000}"/>
    <cellStyle name="Percent 3" xfId="6" xr:uid="{00000000-0005-0000-0000-000015000000}"/>
    <cellStyle name="Percent 4" xfId="8" xr:uid="{00000000-0005-0000-0000-000016000000}"/>
  </cellStyles>
  <dxfs count="0"/>
  <tableStyles count="0" defaultTableStyle="TableStyleMedium2" defaultPivotStyle="PivotStyleLight16"/>
  <colors>
    <mruColors>
      <color rgb="FFFF0000"/>
      <color rgb="FF33CC33"/>
      <color rgb="FFFF0066"/>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28"/>
  <sheetViews>
    <sheetView tabSelected="1" topLeftCell="A76" workbookViewId="0">
      <selection activeCell="B86" sqref="B86"/>
    </sheetView>
  </sheetViews>
  <sheetFormatPr defaultRowHeight="14.4" x14ac:dyDescent="0.3"/>
  <cols>
    <col min="1" max="1" width="21.77734375" customWidth="1"/>
    <col min="2" max="2" width="26.77734375" customWidth="1"/>
    <col min="3" max="3" width="26.5546875" customWidth="1"/>
    <col min="4" max="4" width="21" customWidth="1"/>
    <col min="5" max="5" width="20.77734375" customWidth="1"/>
    <col min="6" max="6" width="19.33203125" customWidth="1"/>
    <col min="7" max="7" width="20.33203125" customWidth="1"/>
    <col min="8" max="8" width="19.88671875" customWidth="1"/>
    <col min="9" max="9" width="17.5546875" customWidth="1"/>
    <col min="10" max="10" width="16.6640625" customWidth="1"/>
    <col min="11" max="12" width="17.77734375" customWidth="1"/>
    <col min="13" max="13" width="16.33203125" customWidth="1"/>
    <col min="14" max="14" width="11.21875" customWidth="1"/>
    <col min="15" max="15" width="10.88671875" customWidth="1"/>
    <col min="16" max="16" width="13.33203125" customWidth="1"/>
    <col min="17" max="17" width="11.6640625" customWidth="1"/>
    <col min="18" max="18" width="12.88671875" customWidth="1"/>
    <col min="19" max="19" width="12.6640625" customWidth="1"/>
    <col min="22" max="22" width="18.44140625" customWidth="1"/>
    <col min="31" max="31" width="20.33203125" customWidth="1"/>
  </cols>
  <sheetData>
    <row r="1" spans="1:13" ht="15" thickBot="1" x14ac:dyDescent="0.35"/>
    <row r="2" spans="1:13" ht="18.600000000000001" thickBot="1" x14ac:dyDescent="0.35">
      <c r="A2" s="3" t="s">
        <v>1</v>
      </c>
      <c r="B2" s="4"/>
      <c r="C2" s="316" t="s">
        <v>4</v>
      </c>
      <c r="D2" s="317"/>
      <c r="E2" s="317"/>
      <c r="F2" s="317"/>
      <c r="G2" s="318"/>
    </row>
    <row r="3" spans="1:13" ht="45" customHeight="1" thickBot="1" x14ac:dyDescent="0.35">
      <c r="A3" s="368" t="s">
        <v>302</v>
      </c>
      <c r="B3" s="76" t="s">
        <v>10</v>
      </c>
      <c r="C3" s="119" t="s">
        <v>151</v>
      </c>
      <c r="D3" s="119" t="s">
        <v>152</v>
      </c>
      <c r="E3" s="142" t="s">
        <v>153</v>
      </c>
      <c r="F3" s="142" t="s">
        <v>154</v>
      </c>
      <c r="G3" s="196" t="s">
        <v>72</v>
      </c>
      <c r="H3" s="12" t="s">
        <v>11</v>
      </c>
      <c r="I3" s="195">
        <v>3.1E-4</v>
      </c>
      <c r="J3" s="146">
        <f>I3*12</f>
        <v>3.7200000000000002E-3</v>
      </c>
      <c r="K3" s="153"/>
    </row>
    <row r="4" spans="1:13" ht="26.4" customHeight="1" thickBot="1" x14ac:dyDescent="0.35">
      <c r="A4" s="369"/>
      <c r="B4" s="44" t="s">
        <v>5</v>
      </c>
      <c r="C4" s="121" t="s">
        <v>121</v>
      </c>
      <c r="D4" s="235" t="s">
        <v>122</v>
      </c>
      <c r="E4" s="235" t="s">
        <v>275</v>
      </c>
      <c r="F4" s="235" t="s">
        <v>121</v>
      </c>
      <c r="G4" s="319" t="s">
        <v>285</v>
      </c>
      <c r="H4" s="320"/>
      <c r="I4" s="320"/>
      <c r="J4" s="320"/>
      <c r="K4" s="320"/>
    </row>
    <row r="5" spans="1:13" ht="27.6" customHeight="1" thickBot="1" x14ac:dyDescent="0.35">
      <c r="A5" s="369"/>
      <c r="B5" s="42" t="s">
        <v>6</v>
      </c>
      <c r="C5" s="36" t="s">
        <v>14</v>
      </c>
      <c r="D5" s="20" t="s">
        <v>15</v>
      </c>
      <c r="E5" s="43"/>
      <c r="G5" s="321"/>
      <c r="H5" s="320"/>
      <c r="I5" s="320"/>
      <c r="J5" s="320"/>
      <c r="K5" s="320"/>
    </row>
    <row r="6" spans="1:13" ht="31.2" customHeight="1" thickBot="1" x14ac:dyDescent="0.35">
      <c r="A6" s="369"/>
      <c r="B6" s="44" t="s">
        <v>264</v>
      </c>
      <c r="C6" s="232" t="s">
        <v>266</v>
      </c>
      <c r="D6" s="233" t="s">
        <v>267</v>
      </c>
      <c r="E6" s="232" t="s">
        <v>265</v>
      </c>
      <c r="F6" s="233" t="s">
        <v>267</v>
      </c>
      <c r="G6" s="321"/>
      <c r="H6" s="320"/>
      <c r="I6" s="320"/>
      <c r="J6" s="320"/>
      <c r="K6" s="320"/>
    </row>
    <row r="7" spans="1:13" ht="31.8" customHeight="1" thickBot="1" x14ac:dyDescent="0.35">
      <c r="A7" s="370"/>
      <c r="B7" s="44" t="s">
        <v>281</v>
      </c>
      <c r="C7" s="238" t="s">
        <v>284</v>
      </c>
      <c r="D7" s="239" t="s">
        <v>283</v>
      </c>
      <c r="E7" s="246" t="s">
        <v>282</v>
      </c>
      <c r="F7" s="239" t="s">
        <v>283</v>
      </c>
      <c r="G7" s="321"/>
      <c r="H7" s="320"/>
      <c r="I7" s="320"/>
      <c r="J7" s="320"/>
      <c r="K7" s="320"/>
    </row>
    <row r="8" spans="1:13" ht="31.2" customHeight="1" thickBot="1" x14ac:dyDescent="0.35">
      <c r="A8" s="257" t="s">
        <v>303</v>
      </c>
      <c r="B8" s="324" t="s">
        <v>189</v>
      </c>
      <c r="C8" s="325"/>
      <c r="D8" s="167" t="s">
        <v>184</v>
      </c>
      <c r="E8" s="334" t="s">
        <v>163</v>
      </c>
      <c r="F8" s="336"/>
      <c r="G8" s="334" t="s">
        <v>162</v>
      </c>
      <c r="H8" s="335"/>
      <c r="I8" s="343" t="s">
        <v>188</v>
      </c>
      <c r="J8" s="344"/>
      <c r="K8" s="344"/>
      <c r="L8" s="344"/>
    </row>
    <row r="9" spans="1:13" ht="16.2" thickBot="1" x14ac:dyDescent="0.35">
      <c r="A9" s="278"/>
      <c r="B9" s="53" t="s">
        <v>45</v>
      </c>
      <c r="C9" s="169"/>
      <c r="D9" s="50" t="s">
        <v>185</v>
      </c>
      <c r="E9" s="50" t="s">
        <v>79</v>
      </c>
      <c r="F9" s="51" t="s">
        <v>80</v>
      </c>
      <c r="G9" s="164" t="s">
        <v>79</v>
      </c>
      <c r="H9" s="70" t="s">
        <v>80</v>
      </c>
      <c r="I9" s="345"/>
      <c r="J9" s="345"/>
      <c r="K9" s="345"/>
      <c r="L9" s="345"/>
    </row>
    <row r="10" spans="1:13" ht="16.2" thickBot="1" x14ac:dyDescent="0.35">
      <c r="A10" s="278"/>
      <c r="B10" s="168" t="s">
        <v>52</v>
      </c>
      <c r="C10" s="175" t="s">
        <v>9</v>
      </c>
      <c r="D10" s="172">
        <v>0.03</v>
      </c>
      <c r="E10" s="173">
        <v>7.1099999999999997E-2</v>
      </c>
      <c r="F10" s="174">
        <v>6.9900000000000004E-2</v>
      </c>
      <c r="G10" s="173">
        <v>7.4700000000000003E-2</v>
      </c>
      <c r="H10" s="174">
        <v>7.3499999999999996E-2</v>
      </c>
      <c r="I10" s="14" t="s">
        <v>0</v>
      </c>
      <c r="J10" s="15" t="s">
        <v>31</v>
      </c>
      <c r="K10" s="2"/>
      <c r="L10" s="66"/>
    </row>
    <row r="11" spans="1:13" ht="16.8" customHeight="1" thickBot="1" x14ac:dyDescent="0.35">
      <c r="A11" s="278"/>
      <c r="B11" s="168" t="s">
        <v>52</v>
      </c>
      <c r="C11" s="176" t="s">
        <v>186</v>
      </c>
      <c r="D11" s="174">
        <v>2.4E-2</v>
      </c>
      <c r="E11" s="174">
        <v>6.0900000000000003E-2</v>
      </c>
      <c r="F11" s="174">
        <v>5.9700000000000003E-2</v>
      </c>
      <c r="G11" s="174">
        <v>6.4500000000000002E-2</v>
      </c>
      <c r="H11" s="174">
        <v>6.3299999999999995E-2</v>
      </c>
      <c r="I11" s="8"/>
      <c r="J11" s="8" t="s">
        <v>32</v>
      </c>
      <c r="K11" s="1"/>
      <c r="L11" s="67"/>
    </row>
    <row r="12" spans="1:13" ht="16.2" thickBot="1" x14ac:dyDescent="0.35">
      <c r="A12" s="278"/>
      <c r="B12" s="168" t="s">
        <v>52</v>
      </c>
      <c r="C12" s="176" t="s">
        <v>0</v>
      </c>
      <c r="D12" s="174">
        <v>2.2499999999999999E-2</v>
      </c>
      <c r="E12" s="174">
        <v>5.91E-2</v>
      </c>
      <c r="F12" s="174">
        <v>5.79E-2</v>
      </c>
      <c r="G12" s="174">
        <v>6.2700000000000006E-2</v>
      </c>
      <c r="H12" s="174">
        <v>6.1499999999999999E-2</v>
      </c>
      <c r="L12" s="171"/>
    </row>
    <row r="13" spans="1:13" ht="16.2" thickBot="1" x14ac:dyDescent="0.35">
      <c r="A13" s="278"/>
      <c r="B13" s="168" t="s">
        <v>52</v>
      </c>
      <c r="C13" s="92" t="s">
        <v>187</v>
      </c>
      <c r="D13" s="174">
        <v>2.2499999999999999E-2</v>
      </c>
      <c r="E13" s="174">
        <v>5.91E-2</v>
      </c>
      <c r="F13" s="174">
        <v>5.79E-2</v>
      </c>
      <c r="G13" s="174">
        <v>6.2700000000000006E-2</v>
      </c>
      <c r="H13" s="174">
        <v>6.1499999999999999E-2</v>
      </c>
      <c r="L13" s="45"/>
    </row>
    <row r="14" spans="1:13" ht="28.2" customHeight="1" thickBot="1" x14ac:dyDescent="0.35">
      <c r="A14" s="278"/>
      <c r="B14" s="361" t="s">
        <v>183</v>
      </c>
      <c r="C14" s="362"/>
      <c r="D14" s="359" t="s">
        <v>8</v>
      </c>
      <c r="E14" s="334" t="s">
        <v>163</v>
      </c>
      <c r="F14" s="336"/>
      <c r="G14" s="334" t="s">
        <v>162</v>
      </c>
      <c r="H14" s="335"/>
      <c r="M14" s="170"/>
    </row>
    <row r="15" spans="1:13" ht="16.8" customHeight="1" thickBot="1" x14ac:dyDescent="0.35">
      <c r="A15" s="278"/>
      <c r="B15" s="363"/>
      <c r="C15" s="364"/>
      <c r="D15" s="360"/>
      <c r="E15" s="50" t="s">
        <v>79</v>
      </c>
      <c r="F15" s="51" t="s">
        <v>80</v>
      </c>
      <c r="G15" s="164" t="s">
        <v>79</v>
      </c>
      <c r="H15" s="70" t="s">
        <v>80</v>
      </c>
    </row>
    <row r="16" spans="1:13" ht="16.2" thickBot="1" x14ac:dyDescent="0.35">
      <c r="A16" s="278"/>
      <c r="B16" s="53"/>
      <c r="C16" s="54"/>
      <c r="D16" s="174">
        <f>D12</f>
        <v>2.2499999999999999E-2</v>
      </c>
      <c r="E16" s="174">
        <f t="shared" ref="E16:H16" si="0">E12</f>
        <v>5.91E-2</v>
      </c>
      <c r="F16" s="174">
        <f t="shared" si="0"/>
        <v>5.79E-2</v>
      </c>
      <c r="G16" s="174">
        <f t="shared" si="0"/>
        <v>6.2700000000000006E-2</v>
      </c>
      <c r="H16" s="174">
        <f t="shared" si="0"/>
        <v>6.1499999999999999E-2</v>
      </c>
    </row>
    <row r="17" spans="1:13" ht="24.6" customHeight="1" thickBot="1" x14ac:dyDescent="0.35">
      <c r="A17" s="278"/>
      <c r="B17" s="324" t="s">
        <v>51</v>
      </c>
      <c r="C17" s="325"/>
      <c r="D17" s="334" t="s">
        <v>323</v>
      </c>
      <c r="E17" s="336"/>
      <c r="F17" s="335"/>
      <c r="G17" s="334" t="s">
        <v>324</v>
      </c>
      <c r="H17" s="336"/>
      <c r="I17" s="335"/>
    </row>
    <row r="18" spans="1:13" ht="16.2" thickBot="1" x14ac:dyDescent="0.35">
      <c r="A18" s="278"/>
      <c r="B18" s="59" t="s">
        <v>57</v>
      </c>
      <c r="C18" s="50"/>
      <c r="D18" s="51" t="s">
        <v>46</v>
      </c>
      <c r="E18" s="51" t="s">
        <v>47</v>
      </c>
      <c r="F18" s="52" t="s">
        <v>62</v>
      </c>
      <c r="G18" s="51" t="s">
        <v>46</v>
      </c>
      <c r="H18" s="51" t="s">
        <v>47</v>
      </c>
      <c r="I18" s="52" t="s">
        <v>62</v>
      </c>
      <c r="J18" s="69"/>
    </row>
    <row r="19" spans="1:13" ht="16.8" thickBot="1" x14ac:dyDescent="0.35">
      <c r="A19" s="278"/>
      <c r="B19" s="65" t="s">
        <v>5</v>
      </c>
      <c r="C19" s="64" t="s">
        <v>52</v>
      </c>
      <c r="D19" s="60" t="s">
        <v>52</v>
      </c>
      <c r="E19" s="61" t="s">
        <v>52</v>
      </c>
      <c r="F19" s="61" t="s">
        <v>52</v>
      </c>
      <c r="G19" s="60" t="s">
        <v>52</v>
      </c>
      <c r="H19" s="61" t="s">
        <v>52</v>
      </c>
      <c r="I19" s="61" t="s">
        <v>52</v>
      </c>
    </row>
    <row r="20" spans="1:13" ht="16.8" customHeight="1" thickBot="1" x14ac:dyDescent="0.35">
      <c r="A20" s="278"/>
      <c r="B20" s="371" t="s">
        <v>202</v>
      </c>
      <c r="C20" s="64" t="s">
        <v>46</v>
      </c>
      <c r="D20" s="60" t="s">
        <v>61</v>
      </c>
      <c r="E20" s="61" t="s">
        <v>325</v>
      </c>
      <c r="F20" s="61" t="s">
        <v>326</v>
      </c>
      <c r="G20" s="60" t="s">
        <v>328</v>
      </c>
      <c r="H20" s="61" t="s">
        <v>329</v>
      </c>
      <c r="I20" s="61" t="s">
        <v>325</v>
      </c>
    </row>
    <row r="21" spans="1:13" ht="16.2" thickBot="1" x14ac:dyDescent="0.35">
      <c r="A21" s="278"/>
      <c r="B21" s="372"/>
      <c r="C21" s="64" t="s">
        <v>203</v>
      </c>
      <c r="D21" s="60" t="s">
        <v>61</v>
      </c>
      <c r="E21" s="61" t="s">
        <v>325</v>
      </c>
      <c r="F21" s="61" t="s">
        <v>326</v>
      </c>
      <c r="G21" s="60" t="s">
        <v>328</v>
      </c>
      <c r="H21" s="61" t="s">
        <v>329</v>
      </c>
      <c r="I21" s="61" t="s">
        <v>325</v>
      </c>
    </row>
    <row r="22" spans="1:13" ht="16.2" thickBot="1" x14ac:dyDescent="0.35">
      <c r="A22" s="278"/>
      <c r="B22" s="373"/>
      <c r="C22" s="64" t="s">
        <v>204</v>
      </c>
      <c r="D22" s="60" t="s">
        <v>61</v>
      </c>
      <c r="E22" s="61" t="s">
        <v>325</v>
      </c>
      <c r="F22" s="61" t="s">
        <v>326</v>
      </c>
      <c r="G22" s="60" t="s">
        <v>328</v>
      </c>
      <c r="H22" s="61" t="s">
        <v>329</v>
      </c>
      <c r="I22" s="61" t="s">
        <v>325</v>
      </c>
    </row>
    <row r="23" spans="1:13" ht="16.8" thickBot="1" x14ac:dyDescent="0.35">
      <c r="A23" s="278"/>
      <c r="B23" s="63" t="s">
        <v>6</v>
      </c>
      <c r="C23" s="64" t="s">
        <v>52</v>
      </c>
      <c r="D23" s="60" t="s">
        <v>52</v>
      </c>
      <c r="E23" s="61" t="s">
        <v>52</v>
      </c>
      <c r="F23" s="61" t="s">
        <v>52</v>
      </c>
      <c r="G23" s="60" t="s">
        <v>52</v>
      </c>
      <c r="H23" s="61" t="s">
        <v>52</v>
      </c>
      <c r="I23" s="61" t="s">
        <v>52</v>
      </c>
    </row>
    <row r="24" spans="1:13" ht="16.2" thickBot="1" x14ac:dyDescent="0.35">
      <c r="A24" s="278"/>
      <c r="B24" s="371" t="s">
        <v>205</v>
      </c>
      <c r="C24" s="64" t="s">
        <v>46</v>
      </c>
      <c r="D24" s="60" t="s">
        <v>327</v>
      </c>
      <c r="E24" s="61" t="s">
        <v>49</v>
      </c>
      <c r="F24" s="61" t="s">
        <v>50</v>
      </c>
      <c r="G24" s="60" t="s">
        <v>330</v>
      </c>
      <c r="H24" s="61" t="s">
        <v>331</v>
      </c>
      <c r="I24" s="61" t="s">
        <v>49</v>
      </c>
    </row>
    <row r="25" spans="1:13" ht="16.2" thickBot="1" x14ac:dyDescent="0.35">
      <c r="A25" s="278"/>
      <c r="B25" s="372"/>
      <c r="C25" s="64" t="s">
        <v>203</v>
      </c>
      <c r="D25" s="60" t="s">
        <v>327</v>
      </c>
      <c r="E25" s="61" t="s">
        <v>49</v>
      </c>
      <c r="F25" s="61" t="s">
        <v>50</v>
      </c>
      <c r="G25" s="60" t="s">
        <v>330</v>
      </c>
      <c r="H25" s="61" t="s">
        <v>331</v>
      </c>
      <c r="I25" s="61" t="s">
        <v>49</v>
      </c>
    </row>
    <row r="26" spans="1:13" ht="16.2" thickBot="1" x14ac:dyDescent="0.35">
      <c r="A26" s="278"/>
      <c r="B26" s="373"/>
      <c r="C26" s="64" t="s">
        <v>204</v>
      </c>
      <c r="D26" s="60" t="s">
        <v>327</v>
      </c>
      <c r="E26" s="61" t="s">
        <v>49</v>
      </c>
      <c r="F26" s="61" t="s">
        <v>50</v>
      </c>
      <c r="G26" s="60" t="s">
        <v>330</v>
      </c>
      <c r="H26" s="61" t="s">
        <v>331</v>
      </c>
      <c r="I26" s="61" t="s">
        <v>49</v>
      </c>
      <c r="J26" t="s">
        <v>206</v>
      </c>
    </row>
    <row r="27" spans="1:13" ht="30" customHeight="1" thickBot="1" x14ac:dyDescent="0.35">
      <c r="A27" s="278"/>
      <c r="B27" s="324" t="s">
        <v>58</v>
      </c>
      <c r="C27" s="325"/>
      <c r="D27" s="167" t="s">
        <v>184</v>
      </c>
      <c r="E27" s="334" t="s">
        <v>163</v>
      </c>
      <c r="F27" s="336"/>
      <c r="G27" s="334" t="s">
        <v>162</v>
      </c>
      <c r="H27" s="335"/>
      <c r="I27" s="341" t="s">
        <v>174</v>
      </c>
      <c r="J27" s="342"/>
      <c r="K27" s="342"/>
      <c r="L27" s="342"/>
      <c r="M27" s="342"/>
    </row>
    <row r="28" spans="1:13" ht="16.8" customHeight="1" thickBot="1" x14ac:dyDescent="0.35">
      <c r="A28" s="278"/>
      <c r="B28" s="180"/>
      <c r="C28" s="181"/>
      <c r="D28" s="50" t="s">
        <v>185</v>
      </c>
      <c r="E28" s="50" t="s">
        <v>79</v>
      </c>
      <c r="F28" s="51" t="s">
        <v>80</v>
      </c>
      <c r="G28" s="164" t="s">
        <v>79</v>
      </c>
      <c r="H28" s="70" t="s">
        <v>80</v>
      </c>
    </row>
    <row r="29" spans="1:13" ht="16.2" thickBot="1" x14ac:dyDescent="0.35">
      <c r="A29" s="260"/>
      <c r="B29" s="168" t="s">
        <v>52</v>
      </c>
      <c r="C29" s="92" t="s">
        <v>9</v>
      </c>
      <c r="D29" s="183">
        <v>4.2000000000000003E-2</v>
      </c>
      <c r="E29" s="184">
        <v>5.5199999999999999E-2</v>
      </c>
      <c r="F29" s="185">
        <v>5.3999999999999999E-2</v>
      </c>
      <c r="G29" s="190">
        <v>5.8200000000000002E-2</v>
      </c>
      <c r="H29" s="191">
        <v>5.7000000000000002E-2</v>
      </c>
    </row>
    <row r="30" spans="1:13" ht="16.2" thickBot="1" x14ac:dyDescent="0.35">
      <c r="A30" s="278"/>
      <c r="B30" s="168" t="s">
        <v>52</v>
      </c>
      <c r="C30" s="176" t="s">
        <v>186</v>
      </c>
      <c r="D30" s="183">
        <v>3.7499999999999999E-2</v>
      </c>
      <c r="E30" s="184">
        <v>5.0700000000000002E-2</v>
      </c>
      <c r="F30" s="185">
        <v>4.9500000000000002E-2</v>
      </c>
      <c r="G30" s="188">
        <v>5.3699999999999998E-2</v>
      </c>
      <c r="H30" s="185">
        <v>5.2499999999999998E-2</v>
      </c>
    </row>
    <row r="31" spans="1:13" ht="16.2" thickBot="1" x14ac:dyDescent="0.35">
      <c r="A31" s="278"/>
      <c r="B31" s="168" t="s">
        <v>52</v>
      </c>
      <c r="C31" s="176" t="s">
        <v>0</v>
      </c>
      <c r="D31" s="182">
        <v>3.5999999999999997E-2</v>
      </c>
      <c r="E31" s="184">
        <v>4.7699999999999999E-2</v>
      </c>
      <c r="F31" s="186">
        <v>4.65E-2</v>
      </c>
      <c r="G31" s="189">
        <v>5.0700000000000002E-2</v>
      </c>
      <c r="H31" s="186">
        <v>4.9500000000000002E-2</v>
      </c>
    </row>
    <row r="32" spans="1:13" ht="38.4" customHeight="1" thickBot="1" x14ac:dyDescent="0.35">
      <c r="A32" s="278"/>
      <c r="B32" s="324" t="s">
        <v>59</v>
      </c>
      <c r="C32" s="325"/>
      <c r="D32" s="167" t="s">
        <v>184</v>
      </c>
      <c r="E32" s="334" t="s">
        <v>163</v>
      </c>
      <c r="F32" s="336"/>
      <c r="G32" s="334" t="s">
        <v>162</v>
      </c>
      <c r="H32" s="335"/>
    </row>
    <row r="33" spans="1:18" ht="16.2" thickBot="1" x14ac:dyDescent="0.35">
      <c r="A33" s="278"/>
      <c r="B33" s="46"/>
      <c r="C33" s="68" t="s">
        <v>53</v>
      </c>
      <c r="D33" s="50" t="s">
        <v>185</v>
      </c>
      <c r="E33" s="50" t="s">
        <v>79</v>
      </c>
      <c r="F33" s="51" t="s">
        <v>80</v>
      </c>
      <c r="G33" s="164" t="s">
        <v>79</v>
      </c>
      <c r="H33" s="70" t="s">
        <v>80</v>
      </c>
    </row>
    <row r="34" spans="1:18" ht="16.2" thickBot="1" x14ac:dyDescent="0.35">
      <c r="A34" s="278"/>
      <c r="B34" s="46"/>
      <c r="C34" s="176" t="s">
        <v>186</v>
      </c>
      <c r="D34" s="205">
        <f>D31</f>
        <v>3.5999999999999997E-2</v>
      </c>
      <c r="E34" s="187">
        <f>E31</f>
        <v>4.7699999999999999E-2</v>
      </c>
      <c r="F34" s="187">
        <f t="shared" ref="F34:H34" si="1">F31</f>
        <v>4.65E-2</v>
      </c>
      <c r="G34" s="187">
        <f t="shared" si="1"/>
        <v>5.0700000000000002E-2</v>
      </c>
      <c r="H34" s="187">
        <f t="shared" si="1"/>
        <v>4.9500000000000002E-2</v>
      </c>
    </row>
    <row r="35" spans="1:18" ht="16.2" customHeight="1" thickBot="1" x14ac:dyDescent="0.35">
      <c r="A35" s="278"/>
      <c r="B35" s="324" t="s">
        <v>140</v>
      </c>
      <c r="C35" s="325"/>
      <c r="D35" s="359" t="s">
        <v>8</v>
      </c>
      <c r="E35" s="334" t="s">
        <v>163</v>
      </c>
      <c r="F35" s="336"/>
      <c r="G35" s="334" t="s">
        <v>162</v>
      </c>
      <c r="H35" s="335"/>
      <c r="I35" s="135" t="s">
        <v>143</v>
      </c>
    </row>
    <row r="36" spans="1:18" ht="16.2" thickBot="1" x14ac:dyDescent="0.35">
      <c r="A36" s="278"/>
      <c r="B36" s="47"/>
      <c r="C36" s="365" t="s">
        <v>5</v>
      </c>
      <c r="D36" s="360"/>
      <c r="E36" s="50" t="s">
        <v>79</v>
      </c>
      <c r="F36" s="51" t="s">
        <v>80</v>
      </c>
      <c r="G36" s="164" t="s">
        <v>79</v>
      </c>
      <c r="H36" s="70" t="s">
        <v>80</v>
      </c>
    </row>
    <row r="37" spans="1:18" ht="16.2" thickBot="1" x14ac:dyDescent="0.35">
      <c r="A37" s="278"/>
      <c r="B37" s="48"/>
      <c r="C37" s="366"/>
      <c r="D37" s="174">
        <f>D16</f>
        <v>2.2499999999999999E-2</v>
      </c>
      <c r="E37" s="174">
        <f>E16</f>
        <v>5.91E-2</v>
      </c>
      <c r="F37" s="174">
        <f>F16</f>
        <v>5.79E-2</v>
      </c>
      <c r="G37" s="174">
        <f>G16</f>
        <v>6.2700000000000006E-2</v>
      </c>
      <c r="H37" s="174">
        <f>H16</f>
        <v>6.1499999999999999E-2</v>
      </c>
    </row>
    <row r="38" spans="1:18" ht="16.2" thickBot="1" x14ac:dyDescent="0.35">
      <c r="A38" s="278"/>
      <c r="B38" s="48"/>
      <c r="C38" s="365" t="s">
        <v>6</v>
      </c>
      <c r="D38" s="334" t="s">
        <v>48</v>
      </c>
      <c r="E38" s="336"/>
      <c r="F38" s="335"/>
      <c r="G38" s="45"/>
      <c r="H38" s="45"/>
      <c r="I38" s="45"/>
    </row>
    <row r="39" spans="1:18" ht="16.2" thickBot="1" x14ac:dyDescent="0.35">
      <c r="A39" s="278"/>
      <c r="B39" s="48"/>
      <c r="C39" s="367"/>
      <c r="D39" s="50" t="s">
        <v>46</v>
      </c>
      <c r="E39" s="51" t="s">
        <v>47</v>
      </c>
      <c r="F39" s="52" t="s">
        <v>0</v>
      </c>
    </row>
    <row r="40" spans="1:18" ht="16.2" thickBot="1" x14ac:dyDescent="0.35">
      <c r="A40" s="258"/>
      <c r="B40" s="49"/>
      <c r="C40" s="366"/>
      <c r="D40" s="374" t="s">
        <v>56</v>
      </c>
      <c r="E40" s="375"/>
      <c r="F40" s="376"/>
    </row>
    <row r="41" spans="1:18" ht="35.4" customHeight="1" thickBot="1" x14ac:dyDescent="0.35">
      <c r="A41" s="257" t="s">
        <v>300</v>
      </c>
      <c r="B41" s="23"/>
      <c r="C41" s="348" t="s">
        <v>44</v>
      </c>
      <c r="D41" s="349"/>
      <c r="E41" s="349"/>
      <c r="F41" s="350"/>
      <c r="G41" s="331" t="s">
        <v>141</v>
      </c>
      <c r="H41" s="332"/>
      <c r="I41" s="332"/>
      <c r="J41" s="333"/>
    </row>
    <row r="42" spans="1:18" ht="15.75" customHeight="1" thickBot="1" x14ac:dyDescent="0.35">
      <c r="A42" s="278"/>
      <c r="B42" s="80" t="s">
        <v>7</v>
      </c>
      <c r="C42" s="39" t="s">
        <v>82</v>
      </c>
      <c r="D42" s="39" t="s">
        <v>228</v>
      </c>
      <c r="E42" s="39" t="s">
        <v>229</v>
      </c>
      <c r="F42" s="39" t="s">
        <v>8</v>
      </c>
      <c r="G42" s="39" t="s">
        <v>82</v>
      </c>
      <c r="H42" s="39" t="s">
        <v>228</v>
      </c>
      <c r="I42" s="39" t="s">
        <v>229</v>
      </c>
      <c r="J42" s="39" t="s">
        <v>8</v>
      </c>
      <c r="K42" s="149" t="s">
        <v>11</v>
      </c>
      <c r="L42" s="5" t="s">
        <v>12</v>
      </c>
      <c r="M42" s="6" t="s">
        <v>13</v>
      </c>
    </row>
    <row r="43" spans="1:18" ht="28.8" customHeight="1" thickBot="1" x14ac:dyDescent="0.35">
      <c r="A43" s="278"/>
      <c r="B43" s="81" t="s">
        <v>76</v>
      </c>
      <c r="C43" s="328" t="s">
        <v>117</v>
      </c>
      <c r="D43" s="329"/>
      <c r="E43" s="329"/>
      <c r="F43" s="330"/>
      <c r="G43" s="328" t="s">
        <v>117</v>
      </c>
      <c r="H43" s="329"/>
      <c r="I43" s="329"/>
      <c r="J43" s="330"/>
      <c r="K43" s="33"/>
      <c r="L43" s="148">
        <v>2.5999999999999998E-4</v>
      </c>
      <c r="M43" s="146">
        <f>L43*12</f>
        <v>3.1199999999999995E-3</v>
      </c>
    </row>
    <row r="44" spans="1:18" ht="33" customHeight="1" thickBot="1" x14ac:dyDescent="0.35">
      <c r="A44" s="278"/>
      <c r="B44" s="147" t="s">
        <v>165</v>
      </c>
      <c r="C44" s="143" t="s">
        <v>255</v>
      </c>
      <c r="D44" s="143" t="s">
        <v>258</v>
      </c>
      <c r="E44" s="143" t="s">
        <v>259</v>
      </c>
      <c r="F44" s="144" t="s">
        <v>52</v>
      </c>
      <c r="G44" s="143" t="s">
        <v>190</v>
      </c>
      <c r="H44" s="143" t="s">
        <v>191</v>
      </c>
      <c r="I44" s="143" t="s">
        <v>225</v>
      </c>
      <c r="J44" s="144" t="s">
        <v>52</v>
      </c>
      <c r="K44" s="130" t="s">
        <v>176</v>
      </c>
      <c r="L44" s="40"/>
      <c r="M44" s="41"/>
    </row>
    <row r="45" spans="1:18" ht="45.6" customHeight="1" thickBot="1" x14ac:dyDescent="0.35">
      <c r="A45" s="278"/>
      <c r="B45" s="80" t="s">
        <v>219</v>
      </c>
      <c r="C45" s="143" t="s">
        <v>256</v>
      </c>
      <c r="D45" s="143" t="s">
        <v>260</v>
      </c>
      <c r="E45" s="143" t="s">
        <v>261</v>
      </c>
      <c r="F45" s="144" t="s">
        <v>52</v>
      </c>
      <c r="G45" s="143" t="s">
        <v>220</v>
      </c>
      <c r="H45" s="143" t="s">
        <v>223</v>
      </c>
      <c r="I45" s="143" t="s">
        <v>226</v>
      </c>
      <c r="J45" s="144" t="s">
        <v>52</v>
      </c>
      <c r="K45" s="266" t="s">
        <v>288</v>
      </c>
      <c r="L45" s="267"/>
      <c r="M45" s="267"/>
      <c r="N45" s="267"/>
      <c r="O45" s="267"/>
      <c r="P45" s="267"/>
      <c r="Q45" s="267"/>
      <c r="R45" s="267"/>
    </row>
    <row r="46" spans="1:18" ht="55.8" customHeight="1" thickBot="1" x14ac:dyDescent="0.35">
      <c r="A46" s="278"/>
      <c r="B46" s="80" t="s">
        <v>221</v>
      </c>
      <c r="C46" s="143" t="s">
        <v>257</v>
      </c>
      <c r="D46" s="143" t="s">
        <v>262</v>
      </c>
      <c r="E46" s="143" t="s">
        <v>263</v>
      </c>
      <c r="F46" s="144" t="s">
        <v>52</v>
      </c>
      <c r="G46" s="143" t="s">
        <v>222</v>
      </c>
      <c r="H46" s="143" t="s">
        <v>224</v>
      </c>
      <c r="I46" s="143" t="s">
        <v>227</v>
      </c>
      <c r="J46" s="144" t="s">
        <v>52</v>
      </c>
      <c r="K46" s="266"/>
      <c r="L46" s="267"/>
      <c r="M46" s="267"/>
      <c r="N46" s="267"/>
      <c r="O46" s="267"/>
      <c r="P46" s="267"/>
      <c r="Q46" s="267"/>
      <c r="R46" s="267"/>
    </row>
    <row r="47" spans="1:18" ht="15.75" customHeight="1" thickBot="1" x14ac:dyDescent="0.35">
      <c r="A47" s="257" t="s">
        <v>286</v>
      </c>
      <c r="B47" s="353" t="s">
        <v>139</v>
      </c>
      <c r="C47" s="400" t="s">
        <v>77</v>
      </c>
      <c r="D47" s="401"/>
      <c r="E47" s="401"/>
      <c r="F47" s="402"/>
      <c r="G47" s="398" t="s">
        <v>78</v>
      </c>
      <c r="H47" s="399"/>
      <c r="I47" s="399"/>
      <c r="J47" s="399"/>
      <c r="K47" s="13" t="s">
        <v>11</v>
      </c>
      <c r="L47" s="29" t="s">
        <v>12</v>
      </c>
      <c r="M47" s="30" t="s">
        <v>13</v>
      </c>
    </row>
    <row r="48" spans="1:18" ht="15" thickBot="1" x14ac:dyDescent="0.35">
      <c r="A48" s="278"/>
      <c r="B48" s="354"/>
      <c r="C48" s="10" t="s">
        <v>29</v>
      </c>
      <c r="D48" s="10" t="s">
        <v>304</v>
      </c>
      <c r="E48" s="10" t="s">
        <v>157</v>
      </c>
      <c r="F48" s="10" t="s">
        <v>149</v>
      </c>
      <c r="G48" s="11" t="s">
        <v>10</v>
      </c>
      <c r="H48" s="11" t="s">
        <v>304</v>
      </c>
      <c r="I48" s="11" t="s">
        <v>157</v>
      </c>
      <c r="J48" s="11" t="s">
        <v>149</v>
      </c>
      <c r="K48" s="1"/>
      <c r="L48" s="27">
        <v>2.5900000000000001E-4</v>
      </c>
      <c r="M48" s="28">
        <f>L48*12</f>
        <v>3.1080000000000001E-3</v>
      </c>
    </row>
    <row r="49" spans="1:14" ht="88.2" customHeight="1" thickBot="1" x14ac:dyDescent="0.35">
      <c r="A49" s="278"/>
      <c r="B49" s="10" t="s">
        <v>30</v>
      </c>
      <c r="C49" s="22" t="s">
        <v>75</v>
      </c>
      <c r="D49" s="247" t="s">
        <v>305</v>
      </c>
      <c r="E49" s="236" t="s">
        <v>277</v>
      </c>
      <c r="F49" s="120" t="s">
        <v>118</v>
      </c>
      <c r="G49" s="21" t="s">
        <v>74</v>
      </c>
      <c r="H49" s="247" t="s">
        <v>308</v>
      </c>
      <c r="I49" s="236" t="s">
        <v>276</v>
      </c>
      <c r="J49" s="120" t="s">
        <v>118</v>
      </c>
      <c r="K49" s="393" t="s">
        <v>120</v>
      </c>
      <c r="L49" s="394"/>
      <c r="M49" s="394"/>
      <c r="N49" s="394"/>
    </row>
    <row r="50" spans="1:14" ht="43.8" customHeight="1" thickBot="1" x14ac:dyDescent="0.35">
      <c r="A50" s="278"/>
      <c r="B50" s="10" t="s">
        <v>2</v>
      </c>
      <c r="C50" s="21" t="s">
        <v>43</v>
      </c>
      <c r="D50" s="247" t="s">
        <v>306</v>
      </c>
      <c r="E50" s="236" t="s">
        <v>278</v>
      </c>
      <c r="F50" s="120" t="s">
        <v>119</v>
      </c>
      <c r="G50" s="21" t="s">
        <v>73</v>
      </c>
      <c r="H50" s="247" t="s">
        <v>306</v>
      </c>
      <c r="I50" s="236" t="s">
        <v>278</v>
      </c>
      <c r="J50" s="120" t="s">
        <v>119</v>
      </c>
      <c r="K50" s="395" t="s">
        <v>164</v>
      </c>
      <c r="L50" s="396"/>
      <c r="M50" s="396"/>
      <c r="N50" s="396"/>
    </row>
    <row r="51" spans="1:14" ht="43.2" customHeight="1" thickBot="1" x14ac:dyDescent="0.35">
      <c r="A51" s="278"/>
      <c r="B51" s="228" t="s">
        <v>252</v>
      </c>
      <c r="C51" s="225" t="s">
        <v>157</v>
      </c>
      <c r="D51" s="225" t="s">
        <v>149</v>
      </c>
      <c r="E51" s="355" t="s">
        <v>253</v>
      </c>
      <c r="F51" s="356"/>
      <c r="G51" s="356"/>
      <c r="H51" s="224"/>
      <c r="K51" s="397" t="s">
        <v>287</v>
      </c>
      <c r="L51" s="397"/>
      <c r="M51" s="397"/>
      <c r="N51" s="397"/>
    </row>
    <row r="52" spans="1:14" ht="43.8" customHeight="1" thickBot="1" x14ac:dyDescent="0.35">
      <c r="A52" s="278"/>
      <c r="B52" s="10" t="s">
        <v>30</v>
      </c>
      <c r="C52" s="227" t="s">
        <v>250</v>
      </c>
      <c r="D52" s="227" t="s">
        <v>251</v>
      </c>
      <c r="E52" s="357"/>
      <c r="F52" s="358"/>
      <c r="G52" s="358"/>
      <c r="H52" s="224"/>
      <c r="K52" s="397"/>
      <c r="L52" s="397"/>
      <c r="M52" s="397"/>
      <c r="N52" s="397"/>
    </row>
    <row r="53" spans="1:14" ht="21" customHeight="1" thickBot="1" x14ac:dyDescent="0.35">
      <c r="A53" s="278"/>
      <c r="B53" s="229" t="s">
        <v>63</v>
      </c>
      <c r="C53" s="226" t="s">
        <v>29</v>
      </c>
      <c r="D53" s="7"/>
      <c r="F53" s="7"/>
      <c r="H53" s="74"/>
      <c r="K53" s="194" t="s">
        <v>208</v>
      </c>
      <c r="L53" s="7"/>
      <c r="N53" s="248"/>
    </row>
    <row r="54" spans="1:14" ht="24" customHeight="1" thickBot="1" x14ac:dyDescent="0.35">
      <c r="A54" s="278"/>
      <c r="B54" s="230" t="s">
        <v>9</v>
      </c>
      <c r="C54" s="231" t="s">
        <v>64</v>
      </c>
      <c r="D54" s="7"/>
      <c r="F54" s="7"/>
      <c r="H54" s="74"/>
      <c r="K54" t="s">
        <v>307</v>
      </c>
    </row>
    <row r="55" spans="1:14" ht="15" customHeight="1" thickBot="1" x14ac:dyDescent="0.35">
      <c r="A55" s="257" t="s">
        <v>155</v>
      </c>
      <c r="B55" s="351" t="s">
        <v>130</v>
      </c>
      <c r="C55" s="339" t="s">
        <v>129</v>
      </c>
      <c r="D55" s="340"/>
      <c r="E55" s="339" t="s">
        <v>135</v>
      </c>
      <c r="F55" s="340"/>
      <c r="G55" s="177" t="s">
        <v>11</v>
      </c>
      <c r="H55" s="29" t="s">
        <v>12</v>
      </c>
      <c r="I55" s="30" t="s">
        <v>13</v>
      </c>
    </row>
    <row r="56" spans="1:14" ht="29.4" thickBot="1" x14ac:dyDescent="0.35">
      <c r="A56" s="278"/>
      <c r="B56" s="352"/>
      <c r="C56" s="124" t="s">
        <v>125</v>
      </c>
      <c r="D56" s="124" t="s">
        <v>126</v>
      </c>
      <c r="E56" s="124" t="s">
        <v>125</v>
      </c>
      <c r="F56" s="124" t="s">
        <v>126</v>
      </c>
      <c r="G56" s="123"/>
      <c r="H56" s="122">
        <v>2.9E-4</v>
      </c>
      <c r="I56" s="28">
        <v>3.5000000000000001E-3</v>
      </c>
    </row>
    <row r="57" spans="1:14" ht="15" thickBot="1" x14ac:dyDescent="0.35">
      <c r="A57" s="278"/>
      <c r="B57" s="125" t="s">
        <v>131</v>
      </c>
      <c r="C57" s="126" t="s">
        <v>127</v>
      </c>
      <c r="D57" s="126" t="s">
        <v>156</v>
      </c>
      <c r="E57" s="126" t="s">
        <v>215</v>
      </c>
      <c r="F57" s="126" t="s">
        <v>171</v>
      </c>
      <c r="G57" s="123"/>
      <c r="H57" s="122"/>
      <c r="I57" s="28"/>
    </row>
    <row r="58" spans="1:14" ht="16.8" customHeight="1" thickBot="1" x14ac:dyDescent="0.35">
      <c r="A58" s="278"/>
      <c r="B58" s="125" t="s">
        <v>132</v>
      </c>
      <c r="C58" s="126" t="s">
        <v>169</v>
      </c>
      <c r="D58" s="127" t="s">
        <v>168</v>
      </c>
      <c r="E58" s="126" t="s">
        <v>127</v>
      </c>
      <c r="F58" s="127" t="s">
        <v>172</v>
      </c>
      <c r="G58" s="128" t="s">
        <v>124</v>
      </c>
    </row>
    <row r="59" spans="1:14" ht="16.8" customHeight="1" thickBot="1" x14ac:dyDescent="0.35">
      <c r="A59" s="278"/>
      <c r="B59" s="125" t="s">
        <v>133</v>
      </c>
      <c r="C59" s="126" t="s">
        <v>213</v>
      </c>
      <c r="D59" s="127" t="s">
        <v>128</v>
      </c>
      <c r="E59" s="126" t="s">
        <v>216</v>
      </c>
      <c r="F59" s="127" t="s">
        <v>168</v>
      </c>
      <c r="G59" s="128" t="s">
        <v>138</v>
      </c>
    </row>
    <row r="60" spans="1:14" ht="14.4" customHeight="1" thickBot="1" x14ac:dyDescent="0.35">
      <c r="A60" s="278"/>
      <c r="B60" s="125" t="s">
        <v>134</v>
      </c>
      <c r="C60" s="126" t="s">
        <v>214</v>
      </c>
      <c r="D60" s="127" t="s">
        <v>170</v>
      </c>
      <c r="E60" s="126" t="s">
        <v>213</v>
      </c>
      <c r="F60" s="127" t="s">
        <v>173</v>
      </c>
    </row>
    <row r="61" spans="1:14" ht="15" thickBot="1" x14ac:dyDescent="0.35">
      <c r="A61" s="278"/>
      <c r="B61" s="129" t="s">
        <v>22</v>
      </c>
      <c r="C61" s="339" t="s">
        <v>136</v>
      </c>
      <c r="D61" s="340"/>
      <c r="E61" s="339" t="s">
        <v>137</v>
      </c>
      <c r="F61" s="340"/>
    </row>
    <row r="62" spans="1:14" ht="15" thickBot="1" x14ac:dyDescent="0.35">
      <c r="A62" s="278"/>
      <c r="B62" s="125" t="s">
        <v>131</v>
      </c>
      <c r="C62" s="337" t="s">
        <v>156</v>
      </c>
      <c r="D62" s="338"/>
      <c r="E62" s="337" t="s">
        <v>171</v>
      </c>
      <c r="F62" s="338"/>
    </row>
    <row r="63" spans="1:14" ht="15" thickBot="1" x14ac:dyDescent="0.35">
      <c r="A63" s="278"/>
      <c r="B63" s="125" t="s">
        <v>132</v>
      </c>
      <c r="C63" s="326" t="s">
        <v>168</v>
      </c>
      <c r="D63" s="327"/>
      <c r="E63" s="326" t="s">
        <v>172</v>
      </c>
      <c r="F63" s="327"/>
      <c r="G63" s="71"/>
      <c r="H63" s="26"/>
      <c r="I63" s="7"/>
    </row>
    <row r="64" spans="1:14" ht="15" thickBot="1" x14ac:dyDescent="0.35">
      <c r="A64" s="278"/>
      <c r="B64" s="125" t="s">
        <v>133</v>
      </c>
      <c r="C64" s="326" t="s">
        <v>128</v>
      </c>
      <c r="D64" s="327"/>
      <c r="E64" s="326" t="s">
        <v>168</v>
      </c>
      <c r="F64" s="327"/>
      <c r="G64" s="71"/>
      <c r="H64" s="26"/>
      <c r="I64" s="7"/>
    </row>
    <row r="65" spans="1:14" ht="15" thickBot="1" x14ac:dyDescent="0.35">
      <c r="A65" s="258"/>
      <c r="B65" s="125" t="s">
        <v>134</v>
      </c>
      <c r="C65" s="326" t="s">
        <v>170</v>
      </c>
      <c r="D65" s="327"/>
      <c r="E65" s="326" t="s">
        <v>173</v>
      </c>
      <c r="F65" s="327"/>
      <c r="G65" s="71"/>
      <c r="H65" s="26"/>
      <c r="I65" s="7"/>
    </row>
    <row r="66" spans="1:14" ht="15.75" customHeight="1" thickBot="1" x14ac:dyDescent="0.35">
      <c r="A66" s="272" t="s">
        <v>238</v>
      </c>
      <c r="B66" s="35" t="s">
        <v>38</v>
      </c>
      <c r="C66" s="275" t="s">
        <v>71</v>
      </c>
      <c r="D66" s="276"/>
      <c r="E66" s="276"/>
      <c r="F66" s="277"/>
      <c r="H66" s="33"/>
      <c r="I66" s="33"/>
      <c r="J66" s="32"/>
    </row>
    <row r="67" spans="1:14" ht="15" thickBot="1" x14ac:dyDescent="0.35">
      <c r="A67" s="273"/>
      <c r="B67" s="35" t="s">
        <v>39</v>
      </c>
      <c r="C67" s="131" t="s">
        <v>29</v>
      </c>
      <c r="D67" s="133" t="s">
        <v>144</v>
      </c>
      <c r="E67" s="131" t="s">
        <v>145</v>
      </c>
      <c r="F67" s="117" t="s">
        <v>146</v>
      </c>
      <c r="G67" s="37" t="s">
        <v>142</v>
      </c>
      <c r="H67" s="33"/>
      <c r="I67" s="33"/>
      <c r="J67" s="33"/>
    </row>
    <row r="68" spans="1:14" ht="29.25" customHeight="1" thickBot="1" x14ac:dyDescent="0.35">
      <c r="A68" s="273"/>
      <c r="B68" s="35" t="s">
        <v>178</v>
      </c>
      <c r="C68" s="247" t="s">
        <v>319</v>
      </c>
      <c r="D68" s="247" t="s">
        <v>321</v>
      </c>
      <c r="E68" s="136" t="s">
        <v>52</v>
      </c>
      <c r="F68" s="234" t="s">
        <v>272</v>
      </c>
      <c r="G68" s="7"/>
      <c r="H68" s="7"/>
      <c r="I68" s="7"/>
      <c r="J68" s="7"/>
    </row>
    <row r="69" spans="1:14" ht="29.25" customHeight="1" thickBot="1" x14ac:dyDescent="0.35">
      <c r="A69" s="273"/>
      <c r="B69" s="35" t="s">
        <v>179</v>
      </c>
      <c r="C69" s="249" t="s">
        <v>320</v>
      </c>
      <c r="D69" s="247" t="s">
        <v>322</v>
      </c>
      <c r="E69" s="136" t="s">
        <v>52</v>
      </c>
      <c r="F69" s="234" t="s">
        <v>273</v>
      </c>
      <c r="G69" s="7"/>
      <c r="H69" s="7"/>
      <c r="I69" s="7"/>
      <c r="J69" s="7"/>
    </row>
    <row r="70" spans="1:14" ht="29.25" customHeight="1" thickBot="1" x14ac:dyDescent="0.35">
      <c r="A70" s="273"/>
      <c r="B70" s="35" t="s">
        <v>318</v>
      </c>
      <c r="C70" s="247" t="s">
        <v>319</v>
      </c>
      <c r="D70" s="247" t="s">
        <v>321</v>
      </c>
      <c r="E70" s="136" t="s">
        <v>52</v>
      </c>
      <c r="F70" s="234" t="s">
        <v>272</v>
      </c>
      <c r="G70" s="7"/>
      <c r="H70" s="7"/>
      <c r="I70" s="7"/>
      <c r="J70" s="7"/>
    </row>
    <row r="71" spans="1:14" ht="15" customHeight="1" thickBot="1" x14ac:dyDescent="0.35">
      <c r="A71" s="273"/>
      <c r="B71" s="34" t="s">
        <v>38</v>
      </c>
      <c r="C71" s="346" t="s">
        <v>249</v>
      </c>
      <c r="D71" s="347"/>
      <c r="E71" s="347"/>
      <c r="F71" s="347"/>
      <c r="G71" s="347"/>
      <c r="H71" s="347"/>
      <c r="I71" s="347"/>
      <c r="J71" s="7"/>
    </row>
    <row r="72" spans="1:14" ht="15.6" customHeight="1" thickBot="1" x14ac:dyDescent="0.35">
      <c r="A72" s="273"/>
      <c r="B72" s="35" t="s">
        <v>39</v>
      </c>
      <c r="C72" s="288" t="s">
        <v>29</v>
      </c>
      <c r="D72" s="289"/>
      <c r="E72" s="322" t="s">
        <v>144</v>
      </c>
      <c r="F72" s="323"/>
      <c r="G72" s="290" t="s">
        <v>146</v>
      </c>
      <c r="H72" s="291"/>
      <c r="I72" s="117" t="s">
        <v>6</v>
      </c>
      <c r="J72" s="7"/>
    </row>
    <row r="73" spans="1:14" ht="15.6" customHeight="1" thickBot="1" x14ac:dyDescent="0.35">
      <c r="A73" s="273"/>
      <c r="B73" s="35" t="s">
        <v>40</v>
      </c>
      <c r="C73" s="117" t="s">
        <v>41</v>
      </c>
      <c r="D73" s="134" t="s">
        <v>42</v>
      </c>
      <c r="E73" s="133" t="s">
        <v>41</v>
      </c>
      <c r="F73" s="117" t="s">
        <v>42</v>
      </c>
      <c r="G73" s="134" t="s">
        <v>41</v>
      </c>
      <c r="H73" s="134" t="s">
        <v>42</v>
      </c>
      <c r="I73" s="117" t="s">
        <v>10</v>
      </c>
      <c r="J73" s="7"/>
    </row>
    <row r="74" spans="1:14" ht="29.25" customHeight="1" thickBot="1" x14ac:dyDescent="0.35">
      <c r="A74" s="273"/>
      <c r="B74" s="35" t="s">
        <v>178</v>
      </c>
      <c r="C74" s="151" t="s">
        <v>115</v>
      </c>
      <c r="D74" s="151" t="s">
        <v>175</v>
      </c>
      <c r="E74" s="215" t="s">
        <v>239</v>
      </c>
      <c r="F74" s="217" t="s">
        <v>241</v>
      </c>
      <c r="G74" s="192" t="s">
        <v>268</v>
      </c>
      <c r="H74" s="192" t="s">
        <v>270</v>
      </c>
      <c r="I74" s="250" t="s">
        <v>317</v>
      </c>
      <c r="J74" s="7"/>
    </row>
    <row r="75" spans="1:14" ht="29.25" customHeight="1" thickBot="1" x14ac:dyDescent="0.35">
      <c r="A75" s="273"/>
      <c r="B75" s="35" t="s">
        <v>179</v>
      </c>
      <c r="C75" s="137" t="s">
        <v>147</v>
      </c>
      <c r="D75" s="136" t="s">
        <v>148</v>
      </c>
      <c r="E75" s="216" t="s">
        <v>240</v>
      </c>
      <c r="F75" s="218" t="s">
        <v>242</v>
      </c>
      <c r="G75" s="193" t="s">
        <v>269</v>
      </c>
      <c r="H75" s="193" t="s">
        <v>271</v>
      </c>
      <c r="I75" s="251"/>
      <c r="J75" s="7"/>
    </row>
    <row r="76" spans="1:14" ht="15.6" customHeight="1" thickBot="1" x14ac:dyDescent="0.35">
      <c r="A76" s="273"/>
      <c r="B76" s="34" t="s">
        <v>38</v>
      </c>
      <c r="C76" s="296" t="s">
        <v>243</v>
      </c>
      <c r="D76" s="297"/>
      <c r="E76" s="297"/>
      <c r="F76" s="297"/>
      <c r="G76" s="297"/>
      <c r="H76" s="298"/>
      <c r="I76" s="292" t="s">
        <v>245</v>
      </c>
      <c r="J76" s="293"/>
    </row>
    <row r="77" spans="1:14" ht="29.25" customHeight="1" thickBot="1" x14ac:dyDescent="0.35">
      <c r="A77" s="273"/>
      <c r="B77" s="34" t="s">
        <v>39</v>
      </c>
      <c r="C77" s="288" t="s">
        <v>29</v>
      </c>
      <c r="D77" s="289"/>
      <c r="E77" s="290" t="s">
        <v>144</v>
      </c>
      <c r="F77" s="291"/>
      <c r="G77" s="290" t="s">
        <v>146</v>
      </c>
      <c r="H77" s="291"/>
      <c r="I77" s="294"/>
      <c r="J77" s="295"/>
    </row>
    <row r="78" spans="1:14" ht="15" customHeight="1" thickBot="1" x14ac:dyDescent="0.35">
      <c r="A78" s="273"/>
      <c r="B78" s="35" t="s">
        <v>40</v>
      </c>
      <c r="C78" s="117" t="s">
        <v>41</v>
      </c>
      <c r="D78" s="134" t="s">
        <v>42</v>
      </c>
      <c r="E78" s="117" t="s">
        <v>41</v>
      </c>
      <c r="F78" s="134" t="s">
        <v>42</v>
      </c>
      <c r="G78" s="117" t="s">
        <v>41</v>
      </c>
      <c r="H78" s="134" t="s">
        <v>42</v>
      </c>
      <c r="I78" s="294"/>
      <c r="J78" s="295"/>
    </row>
    <row r="79" spans="1:14" ht="28.8" customHeight="1" thickBot="1" x14ac:dyDescent="0.35">
      <c r="A79" s="273"/>
      <c r="B79" s="34" t="s">
        <v>244</v>
      </c>
      <c r="C79" s="250" t="s">
        <v>309</v>
      </c>
      <c r="D79" s="250" t="s">
        <v>310</v>
      </c>
      <c r="E79" s="256" t="s">
        <v>312</v>
      </c>
      <c r="F79" s="255" t="s">
        <v>314</v>
      </c>
      <c r="G79" s="252" t="s">
        <v>268</v>
      </c>
      <c r="H79" s="253" t="s">
        <v>270</v>
      </c>
      <c r="I79" s="254" t="s">
        <v>116</v>
      </c>
      <c r="J79" s="219"/>
    </row>
    <row r="80" spans="1:14" ht="15" thickBot="1" x14ac:dyDescent="0.35">
      <c r="A80" s="273"/>
      <c r="B80" s="34" t="s">
        <v>38</v>
      </c>
      <c r="C80" s="313" t="s">
        <v>254</v>
      </c>
      <c r="D80" s="314"/>
      <c r="E80" s="314"/>
      <c r="F80" s="314"/>
      <c r="G80" s="314"/>
      <c r="H80" s="314"/>
      <c r="I80" s="314"/>
      <c r="J80" s="314"/>
      <c r="K80" s="315"/>
      <c r="L80" s="12" t="s">
        <v>11</v>
      </c>
      <c r="M80" s="5" t="s">
        <v>12</v>
      </c>
      <c r="N80" s="6" t="s">
        <v>13</v>
      </c>
    </row>
    <row r="81" spans="1:14" ht="15" thickBot="1" x14ac:dyDescent="0.35">
      <c r="A81" s="273"/>
      <c r="B81" s="35" t="s">
        <v>39</v>
      </c>
      <c r="C81" s="288" t="s">
        <v>29</v>
      </c>
      <c r="D81" s="289"/>
      <c r="E81" s="290" t="s">
        <v>144</v>
      </c>
      <c r="F81" s="291"/>
      <c r="G81" s="288" t="s">
        <v>145</v>
      </c>
      <c r="H81" s="289"/>
      <c r="I81" s="290" t="s">
        <v>207</v>
      </c>
      <c r="J81" s="291"/>
      <c r="K81" s="117" t="s">
        <v>6</v>
      </c>
      <c r="L81" s="57"/>
      <c r="M81" s="58">
        <v>3.3E-4</v>
      </c>
      <c r="N81" s="9">
        <f>M81*12</f>
        <v>3.96E-3</v>
      </c>
    </row>
    <row r="82" spans="1:14" ht="15" thickBot="1" x14ac:dyDescent="0.35">
      <c r="A82" s="273"/>
      <c r="B82" s="35" t="s">
        <v>40</v>
      </c>
      <c r="C82" s="117" t="s">
        <v>41</v>
      </c>
      <c r="D82" s="134" t="s">
        <v>42</v>
      </c>
      <c r="E82" s="134" t="s">
        <v>41</v>
      </c>
      <c r="F82" s="132" t="s">
        <v>42</v>
      </c>
      <c r="G82" s="31" t="s">
        <v>41</v>
      </c>
      <c r="H82" s="117" t="s">
        <v>42</v>
      </c>
      <c r="I82" s="134" t="s">
        <v>41</v>
      </c>
      <c r="J82" s="134" t="s">
        <v>42</v>
      </c>
      <c r="K82" s="117" t="s">
        <v>10</v>
      </c>
    </row>
    <row r="83" spans="1:14" ht="29.4" thickBot="1" x14ac:dyDescent="0.35">
      <c r="A83" s="273"/>
      <c r="B83" s="34" t="s">
        <v>178</v>
      </c>
      <c r="C83" s="247" t="s">
        <v>309</v>
      </c>
      <c r="D83" s="247" t="s">
        <v>310</v>
      </c>
      <c r="E83" s="247" t="s">
        <v>312</v>
      </c>
      <c r="F83" s="247" t="s">
        <v>314</v>
      </c>
      <c r="G83" s="136" t="s">
        <v>52</v>
      </c>
      <c r="H83" s="136" t="s">
        <v>52</v>
      </c>
      <c r="I83" s="234" t="s">
        <v>268</v>
      </c>
      <c r="J83" s="234" t="s">
        <v>270</v>
      </c>
      <c r="K83" s="250" t="s">
        <v>316</v>
      </c>
    </row>
    <row r="84" spans="1:14" ht="29.4" thickBot="1" x14ac:dyDescent="0.35">
      <c r="A84" s="274"/>
      <c r="B84" s="35" t="s">
        <v>179</v>
      </c>
      <c r="C84" s="249" t="s">
        <v>180</v>
      </c>
      <c r="D84" s="247" t="s">
        <v>311</v>
      </c>
      <c r="E84" s="247" t="s">
        <v>313</v>
      </c>
      <c r="F84" s="247" t="s">
        <v>315</v>
      </c>
      <c r="G84" s="136" t="s">
        <v>52</v>
      </c>
      <c r="H84" s="136" t="s">
        <v>52</v>
      </c>
      <c r="I84" s="234" t="s">
        <v>269</v>
      </c>
      <c r="J84" s="234" t="s">
        <v>271</v>
      </c>
      <c r="K84" s="251"/>
      <c r="L84" s="38"/>
      <c r="M84" s="38"/>
    </row>
    <row r="85" spans="1:14" ht="45.75" customHeight="1" thickBot="1" x14ac:dyDescent="0.35">
      <c r="A85" s="259" t="s">
        <v>337</v>
      </c>
      <c r="B85" s="24" t="s">
        <v>150</v>
      </c>
      <c r="C85" s="25" t="s">
        <v>29</v>
      </c>
      <c r="D85" s="24" t="s">
        <v>82</v>
      </c>
      <c r="E85" s="237" t="s">
        <v>280</v>
      </c>
      <c r="F85" s="37" t="s">
        <v>332</v>
      </c>
    </row>
    <row r="86" spans="1:14" ht="58.2" customHeight="1" thickBot="1" x14ac:dyDescent="0.35">
      <c r="A86" s="260"/>
      <c r="B86" s="140" t="s">
        <v>209</v>
      </c>
      <c r="C86" s="165" t="s">
        <v>18</v>
      </c>
      <c r="D86" s="150" t="s">
        <v>334</v>
      </c>
      <c r="E86" s="150" t="s">
        <v>334</v>
      </c>
      <c r="F86" s="306" t="s">
        <v>335</v>
      </c>
      <c r="G86" s="307"/>
      <c r="H86" s="307"/>
    </row>
    <row r="87" spans="1:14" ht="62.4" customHeight="1" thickBot="1" x14ac:dyDescent="0.35">
      <c r="A87" s="260"/>
      <c r="B87" s="24" t="s">
        <v>210</v>
      </c>
      <c r="C87" s="166" t="s">
        <v>17</v>
      </c>
      <c r="D87" s="139" t="s">
        <v>279</v>
      </c>
      <c r="E87" s="139" t="s">
        <v>333</v>
      </c>
      <c r="F87" s="406" t="s">
        <v>336</v>
      </c>
      <c r="G87" s="407"/>
      <c r="H87" s="407"/>
      <c r="I87" s="407"/>
      <c r="J87" s="407"/>
    </row>
    <row r="88" spans="1:14" ht="15" customHeight="1" thickBot="1" x14ac:dyDescent="0.35">
      <c r="A88" s="257" t="s">
        <v>237</v>
      </c>
      <c r="B88" s="281" t="s">
        <v>60</v>
      </c>
      <c r="C88" s="270" t="s">
        <v>195</v>
      </c>
      <c r="D88" s="271"/>
      <c r="E88" s="271"/>
      <c r="F88" s="271"/>
      <c r="G88" s="284"/>
      <c r="H88" s="285" t="s">
        <v>196</v>
      </c>
      <c r="I88" s="286"/>
      <c r="J88" s="286"/>
      <c r="K88" s="286"/>
      <c r="L88" s="286"/>
      <c r="M88" s="287"/>
    </row>
    <row r="89" spans="1:14" ht="15" thickBot="1" x14ac:dyDescent="0.35">
      <c r="A89" s="278"/>
      <c r="B89" s="282"/>
      <c r="C89" s="270" t="s">
        <v>29</v>
      </c>
      <c r="D89" s="271"/>
      <c r="E89" s="270" t="s">
        <v>228</v>
      </c>
      <c r="F89" s="271"/>
      <c r="G89" s="284"/>
      <c r="H89" s="270" t="s">
        <v>29</v>
      </c>
      <c r="I89" s="284"/>
      <c r="J89" s="270" t="s">
        <v>228</v>
      </c>
      <c r="K89" s="271"/>
      <c r="L89" s="271"/>
      <c r="M89" s="284"/>
    </row>
    <row r="90" spans="1:14" ht="42" thickBot="1" x14ac:dyDescent="0.35">
      <c r="A90" s="278"/>
      <c r="B90" s="283"/>
      <c r="C90" s="55" t="s">
        <v>3</v>
      </c>
      <c r="D90" s="210" t="s">
        <v>2</v>
      </c>
      <c r="E90" s="211" t="s">
        <v>2</v>
      </c>
      <c r="F90" s="212" t="s">
        <v>3</v>
      </c>
      <c r="G90" s="213" t="s">
        <v>177</v>
      </c>
      <c r="H90" s="55" t="s">
        <v>3</v>
      </c>
      <c r="I90" s="210" t="s">
        <v>2</v>
      </c>
      <c r="J90" s="211" t="s">
        <v>2</v>
      </c>
      <c r="K90" s="212" t="s">
        <v>3</v>
      </c>
      <c r="L90" s="214" t="s">
        <v>177</v>
      </c>
      <c r="M90" s="214" t="s">
        <v>200</v>
      </c>
    </row>
    <row r="91" spans="1:14" ht="29.4" thickBot="1" x14ac:dyDescent="0.35">
      <c r="A91" s="278"/>
      <c r="B91" s="44" t="s">
        <v>5</v>
      </c>
      <c r="C91" s="77" t="s">
        <v>26</v>
      </c>
      <c r="D91" s="78" t="s">
        <v>16</v>
      </c>
      <c r="E91" s="178" t="s">
        <v>192</v>
      </c>
      <c r="F91" s="179" t="s">
        <v>193</v>
      </c>
      <c r="G91" s="179" t="s">
        <v>199</v>
      </c>
      <c r="H91" s="77" t="s">
        <v>54</v>
      </c>
      <c r="I91" s="78" t="s">
        <v>55</v>
      </c>
      <c r="J91" s="178" t="s">
        <v>198</v>
      </c>
      <c r="K91" s="179" t="s">
        <v>194</v>
      </c>
      <c r="L91" s="179" t="s">
        <v>197</v>
      </c>
      <c r="M91" s="179" t="s">
        <v>201</v>
      </c>
    </row>
    <row r="92" spans="1:14" ht="41.4" customHeight="1" thickBot="1" x14ac:dyDescent="0.35">
      <c r="A92" s="278"/>
      <c r="B92" s="62" t="s">
        <v>166</v>
      </c>
      <c r="C92" s="145" t="s">
        <v>159</v>
      </c>
      <c r="D92" s="145" t="s">
        <v>158</v>
      </c>
      <c r="E92" s="207" t="s">
        <v>230</v>
      </c>
      <c r="F92" s="207" t="s">
        <v>231</v>
      </c>
      <c r="G92" s="207" t="s">
        <v>236</v>
      </c>
      <c r="H92" s="145" t="s">
        <v>161</v>
      </c>
      <c r="I92" s="145" t="s">
        <v>160</v>
      </c>
      <c r="J92" s="207" t="s">
        <v>233</v>
      </c>
      <c r="K92" s="207" t="s">
        <v>232</v>
      </c>
      <c r="L92" s="207" t="s">
        <v>234</v>
      </c>
      <c r="M92" s="208" t="s">
        <v>235</v>
      </c>
    </row>
    <row r="93" spans="1:14" ht="46.8" customHeight="1" thickBot="1" x14ac:dyDescent="0.35">
      <c r="A93" s="278"/>
      <c r="B93" s="62" t="s">
        <v>167</v>
      </c>
      <c r="C93" s="145" t="s">
        <v>159</v>
      </c>
      <c r="D93" s="145" t="s">
        <v>158</v>
      </c>
      <c r="E93" s="79" t="s">
        <v>52</v>
      </c>
      <c r="F93" s="75" t="s">
        <v>52</v>
      </c>
      <c r="G93" s="75" t="s">
        <v>52</v>
      </c>
      <c r="H93" s="145" t="s">
        <v>161</v>
      </c>
      <c r="I93" s="145" t="s">
        <v>160</v>
      </c>
      <c r="J93" s="79" t="s">
        <v>52</v>
      </c>
      <c r="K93" s="75" t="s">
        <v>52</v>
      </c>
      <c r="L93" s="75" t="s">
        <v>52</v>
      </c>
      <c r="M93" s="75" t="s">
        <v>52</v>
      </c>
      <c r="N93" s="209" t="s">
        <v>85</v>
      </c>
    </row>
    <row r="94" spans="1:14" ht="19.2" customHeight="1" thickBot="1" x14ac:dyDescent="0.35">
      <c r="A94" s="278"/>
      <c r="B94" s="279" t="s">
        <v>70</v>
      </c>
      <c r="C94" s="270" t="s">
        <v>29</v>
      </c>
      <c r="D94" s="284"/>
      <c r="E94" s="73"/>
      <c r="F94" s="73"/>
      <c r="G94" s="73"/>
      <c r="H94" s="73"/>
      <c r="I94" s="73"/>
      <c r="J94" s="73"/>
    </row>
    <row r="95" spans="1:14" ht="21.6" customHeight="1" thickBot="1" x14ac:dyDescent="0.35">
      <c r="A95" s="278"/>
      <c r="B95" s="280"/>
      <c r="C95" s="55" t="s">
        <v>3</v>
      </c>
      <c r="D95" s="56" t="s">
        <v>2</v>
      </c>
      <c r="E95" s="73"/>
      <c r="F95" s="73"/>
      <c r="G95" s="73"/>
      <c r="H95" s="73"/>
      <c r="I95" s="73"/>
      <c r="J95" s="73"/>
    </row>
    <row r="96" spans="1:14" ht="15" thickBot="1" x14ac:dyDescent="0.35">
      <c r="A96" s="278"/>
      <c r="B96" s="44" t="s">
        <v>5</v>
      </c>
      <c r="C96" s="108" t="s">
        <v>67</v>
      </c>
      <c r="D96" s="109" t="s">
        <v>66</v>
      </c>
      <c r="E96" s="73"/>
      <c r="F96" s="73"/>
      <c r="G96" s="73"/>
      <c r="H96" s="73"/>
      <c r="I96" s="73"/>
      <c r="J96" s="73"/>
    </row>
    <row r="97" spans="1:32" ht="29.4" thickBot="1" x14ac:dyDescent="0.35">
      <c r="A97" s="258"/>
      <c r="B97" s="62" t="s">
        <v>65</v>
      </c>
      <c r="C97" s="72" t="s">
        <v>69</v>
      </c>
      <c r="D97" s="102" t="s">
        <v>68</v>
      </c>
      <c r="E97" s="73"/>
      <c r="F97" s="73"/>
      <c r="G97" s="74"/>
      <c r="H97" s="74"/>
      <c r="I97" s="73"/>
      <c r="J97" s="73"/>
    </row>
    <row r="98" spans="1:32" ht="29.4" customHeight="1" thickBot="1" x14ac:dyDescent="0.35">
      <c r="A98" s="257" t="s">
        <v>92</v>
      </c>
      <c r="B98" s="107"/>
      <c r="C98" s="141"/>
      <c r="D98" s="110" t="s">
        <v>99</v>
      </c>
      <c r="E98" s="110" t="s">
        <v>109</v>
      </c>
      <c r="F98" s="110" t="s">
        <v>107</v>
      </c>
      <c r="G98" s="106" t="s">
        <v>110</v>
      </c>
      <c r="H98" s="111" t="s">
        <v>112</v>
      </c>
      <c r="I98" s="112" t="s">
        <v>113</v>
      </c>
      <c r="J98" s="74"/>
      <c r="K98" s="73"/>
    </row>
    <row r="99" spans="1:32" ht="15" customHeight="1" x14ac:dyDescent="0.3">
      <c r="A99" s="278"/>
      <c r="B99" s="300" t="s">
        <v>97</v>
      </c>
      <c r="C99" s="118" t="s">
        <v>5</v>
      </c>
      <c r="D99" s="113" t="s">
        <v>86</v>
      </c>
      <c r="E99" s="104" t="s">
        <v>108</v>
      </c>
      <c r="F99" s="95" t="s">
        <v>87</v>
      </c>
      <c r="G99" s="104" t="s">
        <v>111</v>
      </c>
      <c r="H99" s="104" t="s">
        <v>102</v>
      </c>
      <c r="I99" s="103" t="s">
        <v>103</v>
      </c>
      <c r="J99" s="101" t="s">
        <v>96</v>
      </c>
    </row>
    <row r="100" spans="1:32" ht="15" thickBot="1" x14ac:dyDescent="0.35">
      <c r="A100" s="278"/>
      <c r="B100" s="301"/>
      <c r="C100" s="31" t="s">
        <v>6</v>
      </c>
      <c r="D100" s="114" t="s">
        <v>89</v>
      </c>
      <c r="E100" s="93"/>
      <c r="F100" s="94" t="s">
        <v>90</v>
      </c>
      <c r="G100" s="93"/>
      <c r="H100" s="93"/>
      <c r="I100" s="94"/>
      <c r="J100" t="s">
        <v>114</v>
      </c>
    </row>
    <row r="101" spans="1:32" ht="14.4" customHeight="1" x14ac:dyDescent="0.3">
      <c r="A101" s="278"/>
      <c r="B101" s="304" t="s">
        <v>98</v>
      </c>
      <c r="C101" s="118" t="s">
        <v>5</v>
      </c>
      <c r="D101" s="115" t="s">
        <v>88</v>
      </c>
      <c r="E101" s="97"/>
      <c r="F101" s="103" t="s">
        <v>100</v>
      </c>
      <c r="G101" s="97"/>
      <c r="H101" s="100" t="s">
        <v>104</v>
      </c>
      <c r="I101" s="103" t="s">
        <v>105</v>
      </c>
      <c r="J101" s="302" t="s">
        <v>19</v>
      </c>
    </row>
    <row r="102" spans="1:32" ht="15" thickBot="1" x14ac:dyDescent="0.35">
      <c r="A102" s="278"/>
      <c r="B102" s="305"/>
      <c r="C102" s="31" t="s">
        <v>6</v>
      </c>
      <c r="D102" s="105" t="s">
        <v>91</v>
      </c>
      <c r="E102" s="96"/>
      <c r="F102" s="94" t="s">
        <v>101</v>
      </c>
      <c r="G102" s="96"/>
      <c r="H102" s="96"/>
      <c r="I102" s="94"/>
      <c r="J102" s="303"/>
    </row>
    <row r="103" spans="1:32" ht="45" customHeight="1" x14ac:dyDescent="0.3">
      <c r="A103" s="278"/>
      <c r="B103" s="300" t="s">
        <v>93</v>
      </c>
      <c r="C103" s="118" t="s">
        <v>5</v>
      </c>
      <c r="D103" s="116" t="s">
        <v>94</v>
      </c>
      <c r="E103" s="100"/>
      <c r="F103" s="97" t="s">
        <v>88</v>
      </c>
      <c r="G103" s="100"/>
      <c r="H103" s="100" t="s">
        <v>106</v>
      </c>
      <c r="I103" s="100" t="s">
        <v>104</v>
      </c>
      <c r="J103" s="303"/>
    </row>
    <row r="104" spans="1:32" ht="30" customHeight="1" thickBot="1" x14ac:dyDescent="0.35">
      <c r="A104" s="278"/>
      <c r="B104" s="301"/>
      <c r="C104" s="31" t="s">
        <v>6</v>
      </c>
      <c r="D104" s="105" t="s">
        <v>95</v>
      </c>
      <c r="E104" s="96"/>
      <c r="F104" s="96" t="s">
        <v>91</v>
      </c>
      <c r="G104" s="96"/>
      <c r="H104" s="96"/>
      <c r="I104" s="96"/>
      <c r="J104" s="303"/>
    </row>
    <row r="105" spans="1:32" ht="34.200000000000003" customHeight="1" thickBot="1" x14ac:dyDescent="0.35">
      <c r="A105" s="257" t="s">
        <v>20</v>
      </c>
      <c r="B105" s="17" t="s">
        <v>2</v>
      </c>
      <c r="C105" s="98" t="s">
        <v>21</v>
      </c>
      <c r="D105" s="99" t="s">
        <v>123</v>
      </c>
      <c r="E105" s="19" t="s">
        <v>28</v>
      </c>
    </row>
    <row r="106" spans="1:32" ht="15" thickBot="1" x14ac:dyDescent="0.35">
      <c r="A106" s="258"/>
      <c r="B106" s="18" t="s">
        <v>10</v>
      </c>
      <c r="C106" s="16" t="s">
        <v>23</v>
      </c>
      <c r="D106" s="204" t="s">
        <v>25</v>
      </c>
      <c r="E106" s="204" t="s">
        <v>27</v>
      </c>
    </row>
    <row r="107" spans="1:32" ht="24.6" customHeight="1" thickBot="1" x14ac:dyDescent="0.35">
      <c r="A107" s="261" t="s">
        <v>33</v>
      </c>
      <c r="B107" s="264" t="s">
        <v>82</v>
      </c>
      <c r="C107" s="203" t="s">
        <v>34</v>
      </c>
      <c r="D107" s="387" t="s">
        <v>35</v>
      </c>
      <c r="E107" s="388"/>
      <c r="F107" s="388"/>
      <c r="G107" s="388"/>
      <c r="H107" s="388"/>
      <c r="I107" s="388"/>
      <c r="J107" s="388"/>
      <c r="K107" s="389"/>
      <c r="L107" s="390" t="s">
        <v>211</v>
      </c>
      <c r="M107" s="391"/>
      <c r="N107" s="391"/>
      <c r="O107" s="391"/>
      <c r="P107" s="391"/>
      <c r="Q107" s="391"/>
      <c r="R107" s="391"/>
      <c r="S107" s="392"/>
      <c r="T107" s="377" t="s">
        <v>83</v>
      </c>
      <c r="V107" s="158"/>
      <c r="X107" s="158"/>
      <c r="Y107" s="158"/>
      <c r="AF107" s="83"/>
    </row>
    <row r="108" spans="1:32" ht="25.8" customHeight="1" thickBot="1" x14ac:dyDescent="0.35">
      <c r="A108" s="262"/>
      <c r="B108" s="265"/>
      <c r="C108" s="84" t="s">
        <v>7</v>
      </c>
      <c r="D108" s="310" t="s">
        <v>82</v>
      </c>
      <c r="E108" s="311"/>
      <c r="F108" s="311"/>
      <c r="G108" s="312"/>
      <c r="H108" s="310" t="s">
        <v>182</v>
      </c>
      <c r="I108" s="311"/>
      <c r="J108" s="311"/>
      <c r="K108" s="312"/>
      <c r="L108" s="310" t="s">
        <v>82</v>
      </c>
      <c r="M108" s="311"/>
      <c r="N108" s="311"/>
      <c r="O108" s="312"/>
      <c r="P108" s="310" t="s">
        <v>182</v>
      </c>
      <c r="Q108" s="311"/>
      <c r="R108" s="311"/>
      <c r="S108" s="312"/>
      <c r="T108" s="378"/>
      <c r="V108" s="158"/>
      <c r="X108" s="159"/>
      <c r="Y108" s="158"/>
      <c r="AF108" s="83"/>
    </row>
    <row r="109" spans="1:32" ht="25.8" customHeight="1" thickBot="1" x14ac:dyDescent="0.35">
      <c r="A109" s="262"/>
      <c r="B109" s="265"/>
      <c r="C109" s="88"/>
      <c r="D109" s="308" t="s">
        <v>247</v>
      </c>
      <c r="E109" s="309"/>
      <c r="F109" s="308" t="s">
        <v>248</v>
      </c>
      <c r="G109" s="309"/>
      <c r="H109" s="308" t="s">
        <v>247</v>
      </c>
      <c r="I109" s="309"/>
      <c r="J109" s="308" t="s">
        <v>248</v>
      </c>
      <c r="K109" s="309"/>
      <c r="L109" s="308" t="s">
        <v>247</v>
      </c>
      <c r="M109" s="309"/>
      <c r="N109" s="308" t="s">
        <v>248</v>
      </c>
      <c r="O109" s="309"/>
      <c r="P109" s="308" t="s">
        <v>247</v>
      </c>
      <c r="Q109" s="309"/>
      <c r="R109" s="308" t="s">
        <v>248</v>
      </c>
      <c r="S109" s="309"/>
      <c r="T109" s="379"/>
      <c r="V109" s="158"/>
      <c r="X109" s="159"/>
      <c r="Y109" s="158"/>
      <c r="AF109" s="83"/>
    </row>
    <row r="110" spans="1:32" ht="22.8" customHeight="1" thickBot="1" x14ac:dyDescent="0.35">
      <c r="A110" s="262"/>
      <c r="B110" s="265"/>
      <c r="C110" s="88"/>
      <c r="D110" s="89" t="s">
        <v>79</v>
      </c>
      <c r="E110" s="87" t="s">
        <v>80</v>
      </c>
      <c r="F110" s="89" t="s">
        <v>79</v>
      </c>
      <c r="G110" s="87" t="s">
        <v>80</v>
      </c>
      <c r="H110" s="89" t="s">
        <v>79</v>
      </c>
      <c r="I110" s="87" t="s">
        <v>80</v>
      </c>
      <c r="J110" s="89" t="s">
        <v>79</v>
      </c>
      <c r="K110" s="87" t="s">
        <v>80</v>
      </c>
      <c r="L110" s="89" t="s">
        <v>79</v>
      </c>
      <c r="M110" s="87" t="s">
        <v>80</v>
      </c>
      <c r="N110" s="89" t="s">
        <v>79</v>
      </c>
      <c r="O110" s="87" t="s">
        <v>80</v>
      </c>
      <c r="P110" s="89" t="s">
        <v>79</v>
      </c>
      <c r="Q110" s="87" t="s">
        <v>80</v>
      </c>
      <c r="R110" s="89" t="s">
        <v>79</v>
      </c>
      <c r="S110" s="87" t="s">
        <v>80</v>
      </c>
      <c r="T110" s="197" t="s">
        <v>36</v>
      </c>
      <c r="V110" s="158"/>
      <c r="X110" s="158"/>
      <c r="Y110" s="158"/>
      <c r="AF110" s="83"/>
    </row>
    <row r="111" spans="1:32" ht="96.6" x14ac:dyDescent="0.3">
      <c r="A111" s="262"/>
      <c r="B111" s="265"/>
      <c r="C111" s="82" t="s">
        <v>217</v>
      </c>
      <c r="D111" s="200">
        <v>4.7E-2</v>
      </c>
      <c r="E111" s="163">
        <v>4.9000000000000002E-2</v>
      </c>
      <c r="F111" s="163">
        <v>4.9000000000000002E-2</v>
      </c>
      <c r="G111" s="163">
        <v>5.0999999999999997E-2</v>
      </c>
      <c r="H111" s="152">
        <v>0.02</v>
      </c>
      <c r="I111" s="152">
        <v>2.1999999999999999E-2</v>
      </c>
      <c r="J111" s="152">
        <v>2.1999999999999999E-2</v>
      </c>
      <c r="K111" s="152">
        <v>2.4E-2</v>
      </c>
      <c r="L111" s="200">
        <v>5.7000000000000002E-2</v>
      </c>
      <c r="M111" s="163">
        <v>5.8999999999999997E-2</v>
      </c>
      <c r="N111" s="200">
        <v>5.8999999999999997E-2</v>
      </c>
      <c r="O111" s="163">
        <v>6.0999999999999999E-2</v>
      </c>
      <c r="P111" s="152">
        <v>0.03</v>
      </c>
      <c r="Q111" s="152">
        <v>3.2000000000000001E-2</v>
      </c>
      <c r="R111" s="152">
        <v>3.2000000000000001E-2</v>
      </c>
      <c r="S111" s="152">
        <v>3.4000000000000002E-2</v>
      </c>
      <c r="T111" s="404" t="s">
        <v>212</v>
      </c>
      <c r="V111" s="160"/>
      <c r="X111" s="157"/>
      <c r="Y111" s="160"/>
      <c r="AF111" s="83"/>
    </row>
    <row r="112" spans="1:32" ht="101.4" customHeight="1" thickBot="1" x14ac:dyDescent="0.35">
      <c r="A112" s="262"/>
      <c r="B112" s="265"/>
      <c r="C112" s="202" t="s">
        <v>218</v>
      </c>
      <c r="D112" s="161">
        <v>5.0999999999999997E-2</v>
      </c>
      <c r="E112" s="162">
        <v>5.2999999999999999E-2</v>
      </c>
      <c r="F112" s="161">
        <v>5.2999999999999999E-2</v>
      </c>
      <c r="G112" s="162">
        <v>5.5E-2</v>
      </c>
      <c r="H112" s="162">
        <v>2.4E-2</v>
      </c>
      <c r="I112" s="162">
        <v>2.5999999999999999E-2</v>
      </c>
      <c r="J112" s="162">
        <v>2.5999999999999999E-2</v>
      </c>
      <c r="K112" s="162">
        <v>2.8000000000000001E-2</v>
      </c>
      <c r="L112" s="161">
        <v>6.0999999999999999E-2</v>
      </c>
      <c r="M112" s="162">
        <v>6.3E-2</v>
      </c>
      <c r="N112" s="161">
        <v>6.3E-2</v>
      </c>
      <c r="O112" s="162">
        <v>6.5000000000000002E-2</v>
      </c>
      <c r="P112" s="162">
        <v>3.4000000000000002E-2</v>
      </c>
      <c r="Q112" s="162">
        <v>3.5999999999999997E-2</v>
      </c>
      <c r="R112" s="162">
        <v>3.5999999999999997E-2</v>
      </c>
      <c r="S112" s="162">
        <v>3.7999999999999999E-2</v>
      </c>
      <c r="T112" s="405"/>
      <c r="V112" s="156"/>
      <c r="X112" s="157"/>
      <c r="Y112" s="156"/>
      <c r="AF112" s="83"/>
    </row>
    <row r="113" spans="1:32" ht="24.6" customHeight="1" thickBot="1" x14ac:dyDescent="0.35">
      <c r="A113" s="262"/>
      <c r="B113" s="264" t="s">
        <v>228</v>
      </c>
      <c r="C113" s="203" t="s">
        <v>34</v>
      </c>
      <c r="D113" s="387" t="s">
        <v>35</v>
      </c>
      <c r="E113" s="388"/>
      <c r="F113" s="388"/>
      <c r="G113" s="388"/>
      <c r="H113" s="388"/>
      <c r="I113" s="388"/>
      <c r="J113" s="388"/>
      <c r="K113" s="389"/>
      <c r="L113" s="390" t="s">
        <v>211</v>
      </c>
      <c r="M113" s="391"/>
      <c r="N113" s="391"/>
      <c r="O113" s="391"/>
      <c r="P113" s="391"/>
      <c r="Q113" s="391"/>
      <c r="R113" s="391"/>
      <c r="S113" s="392"/>
      <c r="T113" s="377" t="s">
        <v>83</v>
      </c>
      <c r="V113" s="158"/>
      <c r="X113" s="158"/>
      <c r="Y113" s="158"/>
      <c r="AF113" s="83"/>
    </row>
    <row r="114" spans="1:32" ht="25.8" customHeight="1" thickBot="1" x14ac:dyDescent="0.35">
      <c r="A114" s="262"/>
      <c r="B114" s="265"/>
      <c r="C114" s="84" t="s">
        <v>7</v>
      </c>
      <c r="D114" s="310" t="s">
        <v>228</v>
      </c>
      <c r="E114" s="311"/>
      <c r="F114" s="311"/>
      <c r="G114" s="312"/>
      <c r="H114" s="310" t="s">
        <v>274</v>
      </c>
      <c r="I114" s="311"/>
      <c r="J114" s="311"/>
      <c r="K114" s="312"/>
      <c r="L114" s="310" t="s">
        <v>228</v>
      </c>
      <c r="M114" s="311"/>
      <c r="N114" s="311"/>
      <c r="O114" s="312"/>
      <c r="P114" s="310" t="s">
        <v>274</v>
      </c>
      <c r="Q114" s="311"/>
      <c r="R114" s="311"/>
      <c r="S114" s="312"/>
      <c r="T114" s="378"/>
      <c r="V114" s="158"/>
      <c r="X114" s="159"/>
      <c r="Y114" s="158"/>
      <c r="AF114" s="83"/>
    </row>
    <row r="115" spans="1:32" ht="25.8" customHeight="1" thickBot="1" x14ac:dyDescent="0.35">
      <c r="A115" s="262"/>
      <c r="B115" s="265"/>
      <c r="C115" s="88"/>
      <c r="D115" s="308" t="s">
        <v>247</v>
      </c>
      <c r="E115" s="309"/>
      <c r="F115" s="308" t="s">
        <v>248</v>
      </c>
      <c r="G115" s="309"/>
      <c r="H115" s="308" t="s">
        <v>247</v>
      </c>
      <c r="I115" s="309"/>
      <c r="J115" s="308" t="s">
        <v>248</v>
      </c>
      <c r="K115" s="309"/>
      <c r="L115" s="308" t="s">
        <v>247</v>
      </c>
      <c r="M115" s="309"/>
      <c r="N115" s="308" t="s">
        <v>248</v>
      </c>
      <c r="O115" s="309"/>
      <c r="P115" s="308" t="s">
        <v>247</v>
      </c>
      <c r="Q115" s="309"/>
      <c r="R115" s="308" t="s">
        <v>248</v>
      </c>
      <c r="S115" s="309"/>
      <c r="T115" s="379"/>
      <c r="V115" s="158"/>
      <c r="X115" s="159"/>
      <c r="Y115" s="158"/>
      <c r="AF115" s="83"/>
    </row>
    <row r="116" spans="1:32" ht="22.8" customHeight="1" thickBot="1" x14ac:dyDescent="0.35">
      <c r="A116" s="262"/>
      <c r="B116" s="265"/>
      <c r="C116" s="88"/>
      <c r="D116" s="89" t="s">
        <v>79</v>
      </c>
      <c r="E116" s="87" t="s">
        <v>80</v>
      </c>
      <c r="F116" s="89" t="s">
        <v>79</v>
      </c>
      <c r="G116" s="87" t="s">
        <v>80</v>
      </c>
      <c r="H116" s="89" t="s">
        <v>79</v>
      </c>
      <c r="I116" s="87" t="s">
        <v>80</v>
      </c>
      <c r="J116" s="89" t="s">
        <v>79</v>
      </c>
      <c r="K116" s="87" t="s">
        <v>80</v>
      </c>
      <c r="L116" s="89" t="s">
        <v>79</v>
      </c>
      <c r="M116" s="87" t="s">
        <v>80</v>
      </c>
      <c r="N116" s="89" t="s">
        <v>79</v>
      </c>
      <c r="O116" s="87" t="s">
        <v>80</v>
      </c>
      <c r="P116" s="89" t="s">
        <v>79</v>
      </c>
      <c r="Q116" s="87" t="s">
        <v>80</v>
      </c>
      <c r="R116" s="89" t="s">
        <v>79</v>
      </c>
      <c r="S116" s="87" t="s">
        <v>80</v>
      </c>
      <c r="T116" s="197" t="s">
        <v>36</v>
      </c>
      <c r="V116" s="158"/>
      <c r="X116" s="158"/>
      <c r="Y116" s="158"/>
      <c r="AF116" s="83"/>
    </row>
    <row r="117" spans="1:32" ht="96.6" x14ac:dyDescent="0.3">
      <c r="A117" s="262"/>
      <c r="B117" s="265"/>
      <c r="C117" s="82" t="s">
        <v>217</v>
      </c>
      <c r="D117" s="200">
        <v>5.3999999999999999E-2</v>
      </c>
      <c r="E117" s="163">
        <v>5.6000000000000001E-2</v>
      </c>
      <c r="F117" s="163">
        <v>5.6000000000000001E-2</v>
      </c>
      <c r="G117" s="163">
        <v>5.8000000000000003E-2</v>
      </c>
      <c r="H117" s="152">
        <v>2.1000000000000001E-2</v>
      </c>
      <c r="I117" s="152">
        <v>2.3E-2</v>
      </c>
      <c r="J117" s="152">
        <v>2.3E-2</v>
      </c>
      <c r="K117" s="152">
        <v>2.5000000000000001E-2</v>
      </c>
      <c r="L117" s="200">
        <v>6.4000000000000001E-2</v>
      </c>
      <c r="M117" s="163">
        <v>6.6000000000000003E-2</v>
      </c>
      <c r="N117" s="200">
        <v>6.6000000000000003E-2</v>
      </c>
      <c r="O117" s="163">
        <v>6.8000000000000005E-2</v>
      </c>
      <c r="P117" s="152">
        <v>3.1E-2</v>
      </c>
      <c r="Q117" s="152">
        <v>3.3000000000000002E-2</v>
      </c>
      <c r="R117" s="152">
        <v>3.3000000000000002E-2</v>
      </c>
      <c r="S117" s="152">
        <v>3.5000000000000003E-2</v>
      </c>
      <c r="T117" s="404" t="s">
        <v>212</v>
      </c>
      <c r="V117" s="160"/>
      <c r="X117" s="157"/>
      <c r="Y117" s="160"/>
      <c r="AF117" s="83"/>
    </row>
    <row r="118" spans="1:32" ht="85.2" customHeight="1" thickBot="1" x14ac:dyDescent="0.35">
      <c r="A118" s="262"/>
      <c r="B118" s="265"/>
      <c r="C118" s="202" t="s">
        <v>218</v>
      </c>
      <c r="D118" s="161">
        <v>5.8000000000000003E-2</v>
      </c>
      <c r="E118" s="162">
        <v>0.06</v>
      </c>
      <c r="F118" s="161">
        <v>0.06</v>
      </c>
      <c r="G118" s="162">
        <v>6.2E-2</v>
      </c>
      <c r="H118" s="162">
        <v>2.5000000000000001E-2</v>
      </c>
      <c r="I118" s="162">
        <v>2.7E-2</v>
      </c>
      <c r="J118" s="162">
        <v>2.7E-2</v>
      </c>
      <c r="K118" s="162">
        <v>2.9000000000000001E-2</v>
      </c>
      <c r="L118" s="161">
        <v>6.8000000000000005E-2</v>
      </c>
      <c r="M118" s="162">
        <v>7.0000000000000007E-2</v>
      </c>
      <c r="N118" s="161">
        <v>7.0000000000000007E-2</v>
      </c>
      <c r="O118" s="162">
        <v>7.1999999999999995E-2</v>
      </c>
      <c r="P118" s="162">
        <v>3.5000000000000003E-2</v>
      </c>
      <c r="Q118" s="162">
        <v>3.6999999999999998E-2</v>
      </c>
      <c r="R118" s="162">
        <v>3.6999999999999998E-2</v>
      </c>
      <c r="S118" s="162">
        <v>3.9E-2</v>
      </c>
      <c r="T118" s="405"/>
      <c r="V118" s="156"/>
      <c r="X118" s="157"/>
      <c r="Y118" s="156"/>
      <c r="AF118" s="83"/>
    </row>
    <row r="119" spans="1:32" ht="24.6" customHeight="1" thickBot="1" x14ac:dyDescent="0.35">
      <c r="A119" s="262"/>
      <c r="B119" s="264" t="s">
        <v>10</v>
      </c>
      <c r="C119" s="206" t="s">
        <v>34</v>
      </c>
      <c r="D119" s="384" t="s">
        <v>35</v>
      </c>
      <c r="E119" s="385"/>
      <c r="F119" s="385"/>
      <c r="G119" s="386"/>
      <c r="H119" s="384" t="s">
        <v>24</v>
      </c>
      <c r="I119" s="385"/>
      <c r="J119" s="385"/>
      <c r="K119" s="386"/>
      <c r="L119" s="380" t="s">
        <v>84</v>
      </c>
      <c r="O119" s="158"/>
      <c r="P119" s="158"/>
      <c r="Q119" s="158"/>
      <c r="W119" s="83"/>
      <c r="X119" s="83"/>
      <c r="Y119" s="83"/>
      <c r="Z119" s="83"/>
      <c r="AA119" s="83"/>
      <c r="AB119" s="83"/>
      <c r="AC119" s="83"/>
      <c r="AD119" s="83"/>
      <c r="AE119" s="83"/>
      <c r="AF119" s="83"/>
    </row>
    <row r="120" spans="1:32" ht="15" customHeight="1" thickBot="1" x14ac:dyDescent="0.35">
      <c r="A120" s="262"/>
      <c r="B120" s="265"/>
      <c r="C120" s="84" t="s">
        <v>7</v>
      </c>
      <c r="D120" s="85" t="s">
        <v>37</v>
      </c>
      <c r="E120" s="86"/>
      <c r="F120" s="86"/>
      <c r="G120" s="87"/>
      <c r="H120" s="85" t="s">
        <v>37</v>
      </c>
      <c r="I120" s="86"/>
      <c r="J120" s="86"/>
      <c r="K120" s="86"/>
      <c r="L120" s="381"/>
      <c r="O120" s="158"/>
      <c r="P120" s="158"/>
      <c r="Q120" s="158"/>
      <c r="W120" s="83"/>
      <c r="X120" s="83"/>
      <c r="Y120" s="83"/>
      <c r="Z120" s="83"/>
      <c r="AA120" s="83"/>
      <c r="AB120" s="83"/>
      <c r="AC120" s="83"/>
      <c r="AD120" s="83"/>
      <c r="AE120" s="83"/>
      <c r="AF120" s="83"/>
    </row>
    <row r="121" spans="1:32" ht="26.4" customHeight="1" thickBot="1" x14ac:dyDescent="0.35">
      <c r="A121" s="262"/>
      <c r="B121" s="265"/>
      <c r="C121" s="88" t="s">
        <v>81</v>
      </c>
      <c r="D121" s="308" t="s">
        <v>247</v>
      </c>
      <c r="E121" s="309"/>
      <c r="F121" s="308" t="s">
        <v>248</v>
      </c>
      <c r="G121" s="309"/>
      <c r="H121" s="308" t="s">
        <v>247</v>
      </c>
      <c r="I121" s="309"/>
      <c r="J121" s="308" t="s">
        <v>248</v>
      </c>
      <c r="K121" s="309"/>
      <c r="L121" s="382" t="s">
        <v>36</v>
      </c>
      <c r="P121" s="138"/>
      <c r="Q121" s="83"/>
      <c r="R121" s="83"/>
      <c r="S121" s="83"/>
      <c r="W121" s="83"/>
      <c r="AB121" s="83"/>
      <c r="AC121" s="83"/>
      <c r="AD121" s="83"/>
      <c r="AE121" s="83"/>
      <c r="AF121" s="83"/>
    </row>
    <row r="122" spans="1:32" ht="15" thickBot="1" x14ac:dyDescent="0.35">
      <c r="A122" s="262"/>
      <c r="B122" s="265"/>
      <c r="C122" s="88"/>
      <c r="D122" s="198" t="s">
        <v>79</v>
      </c>
      <c r="E122" s="199" t="s">
        <v>80</v>
      </c>
      <c r="F122" s="198" t="s">
        <v>79</v>
      </c>
      <c r="G122" s="199" t="s">
        <v>80</v>
      </c>
      <c r="H122" s="198" t="s">
        <v>79</v>
      </c>
      <c r="I122" s="199" t="s">
        <v>80</v>
      </c>
      <c r="J122" s="198" t="s">
        <v>79</v>
      </c>
      <c r="K122" s="199" t="s">
        <v>80</v>
      </c>
      <c r="L122" s="383"/>
      <c r="O122" s="154" t="s">
        <v>11</v>
      </c>
      <c r="P122" s="29" t="s">
        <v>12</v>
      </c>
      <c r="Q122" s="30" t="s">
        <v>13</v>
      </c>
      <c r="R122" s="83"/>
      <c r="S122" s="83"/>
      <c r="W122" s="83"/>
      <c r="AB122" s="83"/>
      <c r="AC122" s="83"/>
      <c r="AD122" s="83"/>
      <c r="AE122" s="83"/>
      <c r="AF122" s="83"/>
    </row>
    <row r="123" spans="1:32" ht="97.2" thickBot="1" x14ac:dyDescent="0.35">
      <c r="A123" s="262"/>
      <c r="B123" s="265"/>
      <c r="C123" s="82" t="s">
        <v>217</v>
      </c>
      <c r="D123" s="163">
        <v>0.02</v>
      </c>
      <c r="E123" s="163">
        <v>2.1999999999999999E-2</v>
      </c>
      <c r="F123" s="163">
        <v>2.1999999999999999E-2</v>
      </c>
      <c r="G123" s="163">
        <v>2.4E-2</v>
      </c>
      <c r="H123" s="90">
        <v>0.03</v>
      </c>
      <c r="I123" s="91">
        <v>3.2000000000000001E-2</v>
      </c>
      <c r="J123" s="90">
        <v>3.2000000000000001E-2</v>
      </c>
      <c r="K123" s="201">
        <v>3.4000000000000002E-2</v>
      </c>
      <c r="L123" s="268" t="s">
        <v>212</v>
      </c>
      <c r="O123" s="141" t="s">
        <v>246</v>
      </c>
      <c r="P123" s="220">
        <v>2.5999999999999998E-4</v>
      </c>
      <c r="Q123" s="153">
        <f>P123*12</f>
        <v>3.1199999999999995E-3</v>
      </c>
      <c r="S123" s="83"/>
      <c r="W123" s="83"/>
      <c r="AB123" s="83"/>
      <c r="AC123" s="83"/>
      <c r="AD123" s="83"/>
      <c r="AE123" s="83"/>
      <c r="AF123" s="83"/>
    </row>
    <row r="124" spans="1:32" ht="88.8" customHeight="1" thickBot="1" x14ac:dyDescent="0.35">
      <c r="A124" s="263"/>
      <c r="B124" s="299"/>
      <c r="C124" s="202" t="s">
        <v>218</v>
      </c>
      <c r="D124" s="162">
        <v>2.4E-2</v>
      </c>
      <c r="E124" s="162">
        <v>2.5999999999999999E-2</v>
      </c>
      <c r="F124" s="162">
        <v>2.5999999999999999E-2</v>
      </c>
      <c r="G124" s="162">
        <v>2.8000000000000001E-2</v>
      </c>
      <c r="H124" s="221">
        <v>3.4000000000000002E-2</v>
      </c>
      <c r="I124" s="223">
        <v>3.5999999999999997E-2</v>
      </c>
      <c r="J124" s="221">
        <v>3.5999999999999997E-2</v>
      </c>
      <c r="K124" s="222">
        <v>3.7999999999999999E-2</v>
      </c>
      <c r="L124" s="269"/>
      <c r="O124" s="155" t="s">
        <v>181</v>
      </c>
      <c r="P124" s="122">
        <v>5.5999999999999995E-4</v>
      </c>
      <c r="Q124" s="28">
        <f>P124*12</f>
        <v>6.7199999999999994E-3</v>
      </c>
      <c r="S124" s="83"/>
      <c r="W124" s="83"/>
      <c r="AB124" s="83"/>
      <c r="AC124" s="83"/>
      <c r="AD124" s="83"/>
      <c r="AE124" s="83"/>
      <c r="AF124" s="83"/>
    </row>
    <row r="125" spans="1:32" ht="29.4" thickBot="1" x14ac:dyDescent="0.35">
      <c r="A125" s="259" t="s">
        <v>299</v>
      </c>
      <c r="B125" s="241" t="s">
        <v>150</v>
      </c>
      <c r="C125" s="242" t="s">
        <v>29</v>
      </c>
      <c r="D125" s="241" t="s">
        <v>82</v>
      </c>
      <c r="E125" s="237" t="s">
        <v>292</v>
      </c>
      <c r="F125" t="s">
        <v>298</v>
      </c>
    </row>
    <row r="126" spans="1:32" ht="29.4" thickBot="1" x14ac:dyDescent="0.35">
      <c r="A126" s="260"/>
      <c r="B126" s="243" t="s">
        <v>209</v>
      </c>
      <c r="C126" s="165" t="s">
        <v>52</v>
      </c>
      <c r="D126" s="150" t="s">
        <v>289</v>
      </c>
      <c r="E126" s="150" t="s">
        <v>293</v>
      </c>
      <c r="F126" s="149" t="s">
        <v>11</v>
      </c>
      <c r="G126" s="29" t="s">
        <v>12</v>
      </c>
      <c r="H126" s="30" t="s">
        <v>13</v>
      </c>
    </row>
    <row r="127" spans="1:32" ht="29.4" thickBot="1" x14ac:dyDescent="0.35">
      <c r="A127" s="260"/>
      <c r="B127" s="243" t="s">
        <v>290</v>
      </c>
      <c r="C127" s="165" t="s">
        <v>52</v>
      </c>
      <c r="D127" s="150" t="s">
        <v>291</v>
      </c>
      <c r="E127" s="150" t="s">
        <v>279</v>
      </c>
      <c r="F127" s="123" t="s">
        <v>297</v>
      </c>
      <c r="G127" s="27">
        <v>2.5900000000000001E-4</v>
      </c>
      <c r="H127" s="244">
        <f>G127*12</f>
        <v>3.1080000000000001E-3</v>
      </c>
    </row>
    <row r="128" spans="1:32" ht="29.4" thickBot="1" x14ac:dyDescent="0.35">
      <c r="A128" s="403"/>
      <c r="B128" s="241" t="s">
        <v>294</v>
      </c>
      <c r="C128" s="240" t="s">
        <v>52</v>
      </c>
      <c r="D128" s="139" t="s">
        <v>295</v>
      </c>
      <c r="E128" s="139" t="s">
        <v>296</v>
      </c>
      <c r="F128" s="245" t="s">
        <v>301</v>
      </c>
      <c r="G128" s="122">
        <v>3.1E-4</v>
      </c>
      <c r="H128" s="244">
        <f>G128*12</f>
        <v>3.7200000000000002E-3</v>
      </c>
    </row>
  </sheetData>
  <mergeCells count="141">
    <mergeCell ref="K49:N49"/>
    <mergeCell ref="K50:N50"/>
    <mergeCell ref="K51:N52"/>
    <mergeCell ref="G47:J47"/>
    <mergeCell ref="C47:F47"/>
    <mergeCell ref="A125:A128"/>
    <mergeCell ref="T117:T118"/>
    <mergeCell ref="P114:S114"/>
    <mergeCell ref="D115:E115"/>
    <mergeCell ref="F115:G115"/>
    <mergeCell ref="H115:I115"/>
    <mergeCell ref="J115:K115"/>
    <mergeCell ref="L115:M115"/>
    <mergeCell ref="N115:O115"/>
    <mergeCell ref="P115:Q115"/>
    <mergeCell ref="R115:S115"/>
    <mergeCell ref="T111:T112"/>
    <mergeCell ref="D121:E121"/>
    <mergeCell ref="F121:G121"/>
    <mergeCell ref="L107:S107"/>
    <mergeCell ref="L109:M109"/>
    <mergeCell ref="N109:O109"/>
    <mergeCell ref="L108:O108"/>
    <mergeCell ref="P108:S108"/>
    <mergeCell ref="P109:Q109"/>
    <mergeCell ref="R109:S109"/>
    <mergeCell ref="T107:T109"/>
    <mergeCell ref="L119:L120"/>
    <mergeCell ref="L121:L122"/>
    <mergeCell ref="D119:G119"/>
    <mergeCell ref="H119:K119"/>
    <mergeCell ref="H108:K108"/>
    <mergeCell ref="H109:I109"/>
    <mergeCell ref="J109:K109"/>
    <mergeCell ref="D107:K107"/>
    <mergeCell ref="D113:K113"/>
    <mergeCell ref="L113:S113"/>
    <mergeCell ref="T113:T115"/>
    <mergeCell ref="D114:G114"/>
    <mergeCell ref="H114:K114"/>
    <mergeCell ref="L114:O114"/>
    <mergeCell ref="G35:H35"/>
    <mergeCell ref="C36:C37"/>
    <mergeCell ref="C38:C40"/>
    <mergeCell ref="A3:A7"/>
    <mergeCell ref="B35:C35"/>
    <mergeCell ref="E32:F32"/>
    <mergeCell ref="A8:A40"/>
    <mergeCell ref="E27:F27"/>
    <mergeCell ref="B20:B22"/>
    <mergeCell ref="B24:B26"/>
    <mergeCell ref="G32:H32"/>
    <mergeCell ref="D40:F40"/>
    <mergeCell ref="B17:C17"/>
    <mergeCell ref="E8:F8"/>
    <mergeCell ref="G8:H8"/>
    <mergeCell ref="E14:F14"/>
    <mergeCell ref="G17:I17"/>
    <mergeCell ref="C61:D61"/>
    <mergeCell ref="I27:M27"/>
    <mergeCell ref="I8:L9"/>
    <mergeCell ref="G14:H14"/>
    <mergeCell ref="C71:I71"/>
    <mergeCell ref="C41:F41"/>
    <mergeCell ref="A55:A65"/>
    <mergeCell ref="B55:B56"/>
    <mergeCell ref="C55:D55"/>
    <mergeCell ref="E55:F55"/>
    <mergeCell ref="C64:D64"/>
    <mergeCell ref="E64:F64"/>
    <mergeCell ref="C65:D65"/>
    <mergeCell ref="E61:F61"/>
    <mergeCell ref="C62:D62"/>
    <mergeCell ref="B47:B48"/>
    <mergeCell ref="A41:A46"/>
    <mergeCell ref="A47:A54"/>
    <mergeCell ref="C43:F43"/>
    <mergeCell ref="E51:G52"/>
    <mergeCell ref="D14:D15"/>
    <mergeCell ref="B14:C15"/>
    <mergeCell ref="D35:D36"/>
    <mergeCell ref="E35:F35"/>
    <mergeCell ref="B107:B112"/>
    <mergeCell ref="D109:E109"/>
    <mergeCell ref="F109:G109"/>
    <mergeCell ref="D108:G108"/>
    <mergeCell ref="H121:I121"/>
    <mergeCell ref="J121:K121"/>
    <mergeCell ref="C80:K80"/>
    <mergeCell ref="C2:G2"/>
    <mergeCell ref="G4:K7"/>
    <mergeCell ref="C72:D72"/>
    <mergeCell ref="E72:F72"/>
    <mergeCell ref="G72:H72"/>
    <mergeCell ref="B32:C32"/>
    <mergeCell ref="B27:C27"/>
    <mergeCell ref="C63:D63"/>
    <mergeCell ref="E63:F63"/>
    <mergeCell ref="G43:J43"/>
    <mergeCell ref="G41:J41"/>
    <mergeCell ref="E65:F65"/>
    <mergeCell ref="G27:H27"/>
    <mergeCell ref="B8:C8"/>
    <mergeCell ref="D17:F17"/>
    <mergeCell ref="D38:F38"/>
    <mergeCell ref="E62:F62"/>
    <mergeCell ref="B103:B104"/>
    <mergeCell ref="J101:J104"/>
    <mergeCell ref="C81:D81"/>
    <mergeCell ref="E81:F81"/>
    <mergeCell ref="G81:H81"/>
    <mergeCell ref="I81:J81"/>
    <mergeCell ref="B101:B102"/>
    <mergeCell ref="C94:D94"/>
    <mergeCell ref="H89:I89"/>
    <mergeCell ref="F86:H86"/>
    <mergeCell ref="F87:J87"/>
    <mergeCell ref="A105:A106"/>
    <mergeCell ref="A85:A87"/>
    <mergeCell ref="A107:A124"/>
    <mergeCell ref="B113:B118"/>
    <mergeCell ref="K45:R46"/>
    <mergeCell ref="L123:L124"/>
    <mergeCell ref="C89:D89"/>
    <mergeCell ref="A66:A84"/>
    <mergeCell ref="C66:F66"/>
    <mergeCell ref="A98:A104"/>
    <mergeCell ref="B94:B95"/>
    <mergeCell ref="B88:B90"/>
    <mergeCell ref="A88:A97"/>
    <mergeCell ref="E89:G89"/>
    <mergeCell ref="C88:G88"/>
    <mergeCell ref="J89:M89"/>
    <mergeCell ref="H88:M88"/>
    <mergeCell ref="C77:D77"/>
    <mergeCell ref="E77:F77"/>
    <mergeCell ref="G77:H77"/>
    <mergeCell ref="I76:J78"/>
    <mergeCell ref="C76:H76"/>
    <mergeCell ref="B119:B124"/>
    <mergeCell ref="B99:B100"/>
  </mergeCells>
  <pageMargins left="0.7" right="0.7" top="0.75" bottom="0.75" header="0.3" footer="0.3"/>
  <pageSetup scale="2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IPOTECARE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Adwisers Support</dc:creator>
  <cp:lastModifiedBy>Ionita Oana</cp:lastModifiedBy>
  <cp:lastPrinted>2023-05-03T11:08:35Z</cp:lastPrinted>
  <dcterms:created xsi:type="dcterms:W3CDTF">2019-10-17T06:47:24Z</dcterms:created>
  <dcterms:modified xsi:type="dcterms:W3CDTF">2026-02-06T10:29:21Z</dcterms:modified>
</cp:coreProperties>
</file>